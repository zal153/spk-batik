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kriteria" sheetId="1" state="visible" r:id="rId3"/>
    <sheet name="sub kriteria bahan" sheetId="2" state="visible" r:id="rId4"/>
    <sheet name="sub kriteria motif" sheetId="3" state="visible" r:id="rId5"/>
    <sheet name="sub kriteria harga" sheetId="4" state="visible" r:id="rId6"/>
    <sheet name="sub kriteria warna" sheetId="5" state="visible" r:id="rId7"/>
    <sheet name="sub kriteria fungsi" sheetId="6" state="visible" r:id="rId8"/>
    <sheet name="data produk" sheetId="7" state="visible" r:id="rId9"/>
    <sheet name="PREFERENSI US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<sst xmlns="http://schemas.openxmlformats.org/spreadsheetml/2006/main" count="453" uniqueCount="148">
  <si>
    <t xml:space="preserve">SPK REKOMENDASI BATIK - TOKO APOLO</t>
  </si>
  <si>
    <t xml:space="preserve">DAFTAR KRITERIA</t>
  </si>
  <si>
    <t xml:space="preserve">C1</t>
  </si>
  <si>
    <t xml:space="preserve">Bahan</t>
  </si>
  <si>
    <t xml:space="preserve">C2</t>
  </si>
  <si>
    <t xml:space="preserve">Motif</t>
  </si>
  <si>
    <t xml:space="preserve">C3</t>
  </si>
  <si>
    <t xml:space="preserve">Harga</t>
  </si>
  <si>
    <t xml:space="preserve">C4</t>
  </si>
  <si>
    <t xml:space="preserve">Warna</t>
  </si>
  <si>
    <t xml:space="preserve">C5</t>
  </si>
  <si>
    <t xml:space="preserve">Fungsi</t>
  </si>
  <si>
    <t xml:space="preserve">MATRIKS PERBANDINGAN BERPASANGAN</t>
  </si>
  <si>
    <t xml:space="preserve">Kriteria</t>
  </si>
  <si>
    <t xml:space="preserve">Total</t>
  </si>
  <si>
    <t xml:space="preserve">MATRIKS NORMALISASI</t>
  </si>
  <si>
    <t xml:space="preserve">Jumlah</t>
  </si>
  <si>
    <t xml:space="preserve">Bobot Prioritas</t>
  </si>
  <si>
    <t xml:space="preserve">PERHITUNGAN KONSISTENSI</t>
  </si>
  <si>
    <t xml:space="preserve">Lambda Max (λ max)</t>
  </si>
  <si>
    <t xml:space="preserve">n (Jumlah Kriteria)</t>
  </si>
  <si>
    <t xml:space="preserve">CI = (λmax-n)/(n-1)</t>
  </si>
  <si>
    <t xml:space="preserve">RI (n=5)</t>
  </si>
  <si>
    <t xml:space="preserve">CR = CI/RI</t>
  </si>
  <si>
    <t xml:space="preserve">Keterangan</t>
  </si>
  <si>
    <t xml:space="preserve">SUB KRITERIA BAHAN</t>
  </si>
  <si>
    <t xml:space="preserve">DAFTAR SUB KRITERIA</t>
  </si>
  <si>
    <t xml:space="preserve">Sutra</t>
  </si>
  <si>
    <t xml:space="preserve">Katun Primissima</t>
  </si>
  <si>
    <t xml:space="preserve">Katun Biasa</t>
  </si>
  <si>
    <t xml:space="preserve">Rayon</t>
  </si>
  <si>
    <t xml:space="preserve">Polyester</t>
  </si>
  <si>
    <t xml:space="preserve">SUB KRITERIA MOTIF</t>
  </si>
  <si>
    <t xml:space="preserve">Tradisional Asli</t>
  </si>
  <si>
    <t xml:space="preserve">Tradisional Modern</t>
  </si>
  <si>
    <t xml:space="preserve">Kombinasi</t>
  </si>
  <si>
    <t xml:space="preserve">Modern/Kontemporer</t>
  </si>
  <si>
    <t xml:space="preserve">Polos/Minimalis</t>
  </si>
  <si>
    <t xml:space="preserve">SUB KRITERIA HARGA</t>
  </si>
  <si>
    <t xml:space="preserve">&lt; Rp 150.000</t>
  </si>
  <si>
    <t xml:space="preserve">Rp 150.000 – 250.000</t>
  </si>
  <si>
    <t xml:space="preserve">Rp 250.000 – 400.000</t>
  </si>
  <si>
    <t xml:space="preserve">Rp 400.000 – 700.000</t>
  </si>
  <si>
    <t xml:space="preserve">&gt; Rp 700.000</t>
  </si>
  <si>
    <t xml:space="preserve">SUB KRITERIA WARNA</t>
  </si>
  <si>
    <t xml:space="preserve">Alami / Natural</t>
  </si>
  <si>
    <t xml:space="preserve">Netral Elegan</t>
  </si>
  <si>
    <t xml:space="preserve">Cerah Seimbang</t>
  </si>
  <si>
    <t xml:space="preserve">Cerah Mencolok</t>
  </si>
  <si>
    <t xml:space="preserve">Tidak Harmonis</t>
  </si>
  <si>
    <t xml:space="preserve"> nlk</t>
  </si>
  <si>
    <t xml:space="preserve">SUB KRITERIA FUNGSI</t>
  </si>
  <si>
    <t xml:space="preserve">Multi-fungsi</t>
  </si>
  <si>
    <t xml:space="preserve">Dua Fungsi</t>
  </si>
  <si>
    <t xml:space="preserve">Formal</t>
  </si>
  <si>
    <t xml:space="preserve">Casual</t>
  </si>
  <si>
    <t xml:space="preserve">Seremonial</t>
  </si>
  <si>
    <t xml:space="preserve">DATA PRODUK BATIK - TOKO APOLO</t>
  </si>
  <si>
    <t xml:space="preserve">No</t>
  </si>
  <si>
    <t xml:space="preserve">Kode</t>
  </si>
  <si>
    <t xml:space="preserve">Nama Produk</t>
  </si>
  <si>
    <t xml:space="preserve">C1 Bahan</t>
  </si>
  <si>
    <t xml:space="preserve">C2 Motif</t>
  </si>
  <si>
    <t xml:space="preserve">C3 Harga (Rp)</t>
  </si>
  <si>
    <t xml:space="preserve">C4 Warna</t>
  </si>
  <si>
    <t xml:space="preserve">C5 FUNGSI</t>
  </si>
  <si>
    <t xml:space="preserve">Skor C1</t>
  </si>
  <si>
    <t xml:space="preserve">Skor C2</t>
  </si>
  <si>
    <t xml:space="preserve">Skor C3</t>
  </si>
  <si>
    <t xml:space="preserve">Skor C4</t>
  </si>
  <si>
    <t xml:space="preserve">Skor C5</t>
  </si>
  <si>
    <t xml:space="preserve">B001</t>
  </si>
  <si>
    <t xml:space="preserve">Batik Parang Sutra</t>
  </si>
  <si>
    <t xml:space="preserve">Rp 850,000</t>
  </si>
  <si>
    <t xml:space="preserve">Alami/Natural</t>
  </si>
  <si>
    <t xml:space="preserve">B002</t>
  </si>
  <si>
    <t xml:space="preserve">Batik Cap Katun</t>
  </si>
  <si>
    <t xml:space="preserve">Rp 200,000</t>
  </si>
  <si>
    <t xml:space="preserve">B003</t>
  </si>
  <si>
    <t xml:space="preserve">Batik Modern Rayon</t>
  </si>
  <si>
    <t xml:space="preserve">Rp 120,000</t>
  </si>
  <si>
    <t xml:space="preserve">B004</t>
  </si>
  <si>
    <t xml:space="preserve">Batik Kombinasi Katun</t>
  </si>
  <si>
    <t xml:space="preserve">Rp 320,000</t>
  </si>
  <si>
    <t xml:space="preserve">B005</t>
  </si>
  <si>
    <t xml:space="preserve">Batik Kawung Sutra</t>
  </si>
  <si>
    <t xml:space="preserve">Rp 950,000</t>
  </si>
  <si>
    <t xml:space="preserve">B006</t>
  </si>
  <si>
    <t xml:space="preserve">Batik Pekalongan</t>
  </si>
  <si>
    <t xml:space="preserve">Katun Sutra</t>
  </si>
  <si>
    <t xml:space="preserve">Rp 500,000</t>
  </si>
  <si>
    <t xml:space="preserve">B007</t>
  </si>
  <si>
    <t xml:space="preserve">Batik Solo</t>
  </si>
  <si>
    <t xml:space="preserve">Rp 600,000</t>
  </si>
  <si>
    <t xml:space="preserve">B008</t>
  </si>
  <si>
    <t xml:space="preserve">Batik Yogyakarta</t>
  </si>
  <si>
    <t xml:space="preserve">Rp 750,000</t>
  </si>
  <si>
    <t xml:space="preserve">B009</t>
  </si>
  <si>
    <t xml:space="preserve">Batik Cirebon</t>
  </si>
  <si>
    <t xml:space="preserve">Rp 450,000</t>
  </si>
  <si>
    <t xml:space="preserve">B010</t>
  </si>
  <si>
    <t xml:space="preserve">Batik Sumenep</t>
  </si>
  <si>
    <t xml:space="preserve">Rp 100,000</t>
  </si>
  <si>
    <t xml:space="preserve">B011</t>
  </si>
  <si>
    <t xml:space="preserve">Batik Madura</t>
  </si>
  <si>
    <t xml:space="preserve">B012</t>
  </si>
  <si>
    <t xml:space="preserve">Batik Bali</t>
  </si>
  <si>
    <t xml:space="preserve">Rp 300,000</t>
  </si>
  <si>
    <t xml:space="preserve">B013</t>
  </si>
  <si>
    <t xml:space="preserve">Batik Tuban</t>
  </si>
  <si>
    <t xml:space="preserve">B014</t>
  </si>
  <si>
    <t xml:space="preserve">Batik Jawa</t>
  </si>
  <si>
    <t xml:space="preserve">Rp 125,000</t>
  </si>
  <si>
    <t xml:space="preserve">B015</t>
  </si>
  <si>
    <t xml:space="preserve">Batik Pamekasan</t>
  </si>
  <si>
    <t xml:space="preserve">B016</t>
  </si>
  <si>
    <t xml:space="preserve">Batik Tanjung Bumi</t>
  </si>
  <si>
    <t xml:space="preserve">FORM PREFERENSI &amp; REKOMENDASI BATIK - TOKO APOLO</t>
  </si>
  <si>
    <t xml:space="preserve">PREFERENSI PENGGUNA</t>
  </si>
  <si>
    <t xml:space="preserve">Pilihan</t>
  </si>
  <si>
    <t xml:space="preserve">Keterangan Pilihan</t>
  </si>
  <si>
    <t xml:space="preserve">Nilai Skala</t>
  </si>
  <si>
    <t xml:space="preserve">C1 - Bahan</t>
  </si>
  <si>
    <t xml:space="preserve">C2 - Motif</t>
  </si>
  <si>
    <t xml:space="preserve">C3 - Harga</t>
  </si>
  <si>
    <t xml:space="preserve">C4 - Warna</t>
  </si>
  <si>
    <t xml:space="preserve">C5 - Fungsi</t>
  </si>
  <si>
    <t xml:space="preserve">⚖️  BOBOT AHP (otomatis dari Sheet 1 - tidak perlu diubah)</t>
  </si>
  <si>
    <t xml:space="preserve">BOBOT AHP</t>
  </si>
  <si>
    <t xml:space="preserve">C3 Harga</t>
  </si>
  <si>
    <t xml:space="preserve">C5 Fungsi</t>
  </si>
  <si>
    <t xml:space="preserve">Bobot</t>
  </si>
  <si>
    <t xml:space="preserve">📐 SELISIH MAKSIMUM </t>
  </si>
  <si>
    <t xml:space="preserve">Selisih Maks (SM)</t>
  </si>
  <si>
    <t xml:space="preserve">← Digunakan sebagai pembagi formula % Cocok (otomatis update jika bobot AHP berubah)</t>
  </si>
  <si>
    <t xml:space="preserve">Rumus: Skor = Σ (Bobot AHP × |Nilai Produk - Nilai Preferensi User|)   →   Skor terkecil = paling cocok</t>
  </si>
  <si>
    <t xml:space="preserve">Selisih C1
(Bobot×|P-U|)</t>
  </si>
  <si>
    <t xml:space="preserve">Selisih C2
(Bobot×|P-U|)</t>
  </si>
  <si>
    <t xml:space="preserve">Selisih C3
(Bobot×|P-U|)</t>
  </si>
  <si>
    <t xml:space="preserve">Selisih C4
(Bobot×|P-U|)</t>
  </si>
  <si>
    <t xml:space="preserve">Selisih C5
(Bobot×|P-U|)</t>
  </si>
  <si>
    <t xml:space="preserve">TOTAL
SELISIH</t>
  </si>
  <si>
    <t xml:space="preserve">% COCOK</t>
  </si>
  <si>
    <t xml:space="preserve">RANKING</t>
  </si>
  <si>
    <t xml:space="preserve">🏆  STEP 3 — HASIL REKOMENDASI TERBAIK UNTUKMU</t>
  </si>
  <si>
    <t xml:space="preserve">🥇 #1</t>
  </si>
  <si>
    <t xml:space="preserve">🥈 #2</t>
  </si>
  <si>
    <t xml:space="preserve">🥉 #3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</si>
</sst>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####"/>
    <numFmt numFmtId="166" formatCode="0.0000"/>
    <numFmt numFmtId="167" formatCode="0"/>
    <numFmt numFmtId="168" formatCode="0.00"/>
    <numFmt numFmtId="169" formatCode="0.00\%"/>
    <numFmt numFmtId="170" formatCode="General"/>
    <numFmt numFmtId="171" formatCode="0.00\%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theme="4" tint="-0.5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3F3F3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843C0C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0"/>
        <bgColor rgb="FFF2F2F2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0070C0"/>
        <bgColor rgb="FF008080"/>
      </patternFill>
    </fill>
    <fill>
      <patternFill patternType="solid">
        <fgColor rgb="FFEBF3FB"/>
        <bgColor rgb="FFF2F2F2"/>
      </patternFill>
    </fill>
    <fill>
      <patternFill patternType="solid">
        <fgColor theme="9" tint="0.7999"/>
        <bgColor rgb="FFE2EFDA"/>
      </patternFill>
    </fill>
    <fill>
      <patternFill patternType="solid">
        <fgColor rgb="FFC0C0C0"/>
        <bgColor rgb="FF99CCFF"/>
      </patternFill>
    </fill>
    <fill>
      <patternFill patternType="solid">
        <fgColor rgb="FFFFD700"/>
        <bgColor rgb="FFFFFF00"/>
      </patternFill>
    </fill>
    <fill>
      <patternFill patternType="solid">
        <fgColor rgb="FFCD7F32"/>
        <bgColor rgb="FFFF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F0D9"/>
      <rgbColor rgb="FFE2EFDA"/>
      <rgbColor rgb="FF99CCFF"/>
      <rgbColor rgb="FFFF99CC"/>
      <rgbColor rgb="FFCC99FF"/>
      <rgbColor rgb="FFFCE4D6"/>
      <rgbColor rgb="FF2E75B6"/>
      <rgbColor rgb="FF33CCCC"/>
      <rgbColor rgb="FF99CC00"/>
      <rgbColor rgb="FFFFD700"/>
      <rgbColor rgb="FFFF9900"/>
      <rgbColor rgb="FFCD7F32"/>
      <rgbColor rgb="FF595959"/>
      <rgbColor rgb="FF969696"/>
      <rgbColor rgb="FF003366"/>
      <rgbColor rgb="FF339966"/>
      <rgbColor rgb="FF003300"/>
      <rgbColor rgb="FF375623"/>
      <rgbColor rgb="FF843C0C"/>
      <rgbColor rgb="FF993366"/>
      <rgbColor rgb="FF1F4E7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1.28"/>
    <col collapsed="false" customWidth="true" hidden="false" outlineLevel="0" max="2" min="2" style="1" width="18"/>
    <col collapsed="false" customWidth="true" hidden="false" outlineLevel="0" max="7" min="7" style="1" width="15.28"/>
    <col collapsed="false" customWidth="true" hidden="false" outlineLevel="0" max="8" min="8" style="1" width="15.71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5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6"/>
      <c r="H2" s="7"/>
      <c r="I2" s="7"/>
      <c r="J2" s="7"/>
      <c r="K2" s="7"/>
      <c r="L2" s="7"/>
      <c r="M2" s="7"/>
      <c r="N2" s="7"/>
      <c r="O2" s="7"/>
      <c r="P2" s="8"/>
    </row>
    <row r="3" customFormat="false" ht="14.25" hidden="false" customHeight="true" outlineLevel="0" collapsed="false"/>
    <row r="4" customFormat="false" ht="14.25" hidden="false" customHeight="true" outlineLevel="0" collapsed="false">
      <c r="A4" s="9" t="s">
        <v>1</v>
      </c>
      <c r="B4" s="9"/>
      <c r="C4" s="9"/>
    </row>
    <row r="5" customFormat="false" ht="14.25" hidden="false" customHeight="true" outlineLevel="0" collapsed="false">
      <c r="A5" s="10" t="s">
        <v>2</v>
      </c>
      <c r="B5" s="11" t="s">
        <v>3</v>
      </c>
      <c r="C5" s="12"/>
    </row>
    <row r="6" customFormat="false" ht="14.25" hidden="false" customHeight="true" outlineLevel="0" collapsed="false">
      <c r="A6" s="10" t="s">
        <v>4</v>
      </c>
      <c r="B6" s="11" t="s">
        <v>5</v>
      </c>
      <c r="C6" s="12"/>
    </row>
    <row r="7" customFormat="false" ht="14.25" hidden="false" customHeight="true" outlineLevel="0" collapsed="false">
      <c r="A7" s="10" t="s">
        <v>6</v>
      </c>
      <c r="B7" s="11" t="s">
        <v>7</v>
      </c>
      <c r="C7" s="12"/>
    </row>
    <row r="8" customFormat="false" ht="14.25" hidden="false" customHeight="true" outlineLevel="0" collapsed="false">
      <c r="A8" s="10" t="s">
        <v>8</v>
      </c>
      <c r="B8" s="11" t="s">
        <v>9</v>
      </c>
      <c r="C8" s="12"/>
    </row>
    <row r="9" customFormat="false" ht="14.25" hidden="false" customHeight="true" outlineLevel="0" collapsed="false">
      <c r="A9" s="10" t="s">
        <v>10</v>
      </c>
      <c r="B9" s="11" t="s">
        <v>11</v>
      </c>
      <c r="C9" s="12"/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>
      <c r="A12" s="9" t="s">
        <v>12</v>
      </c>
      <c r="B12" s="9"/>
      <c r="C12" s="9"/>
      <c r="D12" s="9"/>
      <c r="E12" s="9"/>
      <c r="F12" s="9"/>
      <c r="G12" s="13"/>
      <c r="H12" s="13"/>
      <c r="I12" s="13"/>
      <c r="J12" s="13"/>
      <c r="K12" s="13"/>
    </row>
    <row r="13" customFormat="false" ht="14.25" hidden="false" customHeight="true" outlineLevel="0" collapsed="false">
      <c r="A13" s="14" t="s">
        <v>13</v>
      </c>
      <c r="B13" s="14" t="s">
        <v>2</v>
      </c>
      <c r="C13" s="14" t="s">
        <v>4</v>
      </c>
      <c r="D13" s="14" t="s">
        <v>6</v>
      </c>
      <c r="E13" s="14" t="s">
        <v>8</v>
      </c>
      <c r="F13" s="14" t="s">
        <v>10</v>
      </c>
      <c r="G13" s="15"/>
    </row>
    <row r="14" customFormat="false" ht="14.25" hidden="false" customHeight="true" outlineLevel="0" collapsed="false">
      <c r="A14" s="10" t="s">
        <v>2</v>
      </c>
      <c r="B14" s="10" t="n">
        <v>1</v>
      </c>
      <c r="C14" s="16" t="n">
        <v>2</v>
      </c>
      <c r="D14" s="16" t="n">
        <v>3</v>
      </c>
      <c r="E14" s="16" t="n">
        <v>4</v>
      </c>
      <c r="F14" s="16" t="n">
        <v>5</v>
      </c>
    </row>
    <row r="15" customFormat="false" ht="14.25" hidden="false" customHeight="true" outlineLevel="0" collapsed="false">
      <c r="A15" s="10" t="s">
        <v>4</v>
      </c>
      <c r="B15" s="17" t="n">
        <f aca="false">1/C14</f>
        <v>0.5</v>
      </c>
      <c r="C15" s="10" t="n">
        <v>1</v>
      </c>
      <c r="D15" s="16" t="n">
        <v>2</v>
      </c>
      <c r="E15" s="16" t="n">
        <v>3</v>
      </c>
      <c r="F15" s="16" t="n">
        <v>4</v>
      </c>
    </row>
    <row r="16" customFormat="false" ht="14.25" hidden="false" customHeight="true" outlineLevel="0" collapsed="false">
      <c r="A16" s="10" t="s">
        <v>6</v>
      </c>
      <c r="B16" s="17" t="n">
        <f aca="false">1/D14</f>
        <v>0.333333333333333</v>
      </c>
      <c r="C16" s="17" t="n">
        <f aca="false">1/D15</f>
        <v>0.5</v>
      </c>
      <c r="D16" s="10" t="n">
        <v>1</v>
      </c>
      <c r="E16" s="16" t="n">
        <v>2</v>
      </c>
      <c r="F16" s="16" t="n">
        <v>3</v>
      </c>
    </row>
    <row r="17" customFormat="false" ht="14.25" hidden="false" customHeight="true" outlineLevel="0" collapsed="false">
      <c r="A17" s="10" t="s">
        <v>8</v>
      </c>
      <c r="B17" s="17" t="n">
        <f aca="false">1/E14</f>
        <v>0.25</v>
      </c>
      <c r="C17" s="17" t="n">
        <f aca="false">1/E15</f>
        <v>0.333333333333333</v>
      </c>
      <c r="D17" s="17" t="n">
        <f aca="false">1/E16</f>
        <v>0.5</v>
      </c>
      <c r="E17" s="10" t="n">
        <v>1</v>
      </c>
      <c r="F17" s="16" t="n">
        <v>2</v>
      </c>
    </row>
    <row r="18" customFormat="false" ht="14.25" hidden="false" customHeight="true" outlineLevel="0" collapsed="false">
      <c r="A18" s="10" t="s">
        <v>10</v>
      </c>
      <c r="B18" s="17" t="n">
        <f aca="false">1/F14</f>
        <v>0.2</v>
      </c>
      <c r="C18" s="17" t="n">
        <f aca="false">1/F15</f>
        <v>0.25</v>
      </c>
      <c r="D18" s="17" t="n">
        <f aca="false">1/F16</f>
        <v>0.333333333333333</v>
      </c>
      <c r="E18" s="17" t="n">
        <f aca="false">1/F17</f>
        <v>0.5</v>
      </c>
      <c r="F18" s="10" t="n">
        <v>1</v>
      </c>
    </row>
    <row r="19" customFormat="false" ht="14.25" hidden="false" customHeight="true" outlineLevel="0" collapsed="false">
      <c r="A19" s="18" t="s">
        <v>14</v>
      </c>
      <c r="B19" s="19" t="n">
        <f aca="false">SUM(B14:B18)</f>
        <v>2.28333333333333</v>
      </c>
      <c r="C19" s="19" t="n">
        <f aca="false">SUM(C14:C18)</f>
        <v>4.08333333333333</v>
      </c>
      <c r="D19" s="19" t="n">
        <f aca="false">SUM(D14:D18)</f>
        <v>6.83333333333333</v>
      </c>
      <c r="E19" s="19" t="n">
        <f aca="false">SUM(E14:E18)</f>
        <v>10.5</v>
      </c>
      <c r="F19" s="19" t="n">
        <f aca="false">SUM(F14:F18)</f>
        <v>15</v>
      </c>
    </row>
    <row r="20" customFormat="false" ht="14.25" hidden="false" customHeight="true" outlineLevel="0" collapsed="false"/>
    <row r="21" customFormat="false" ht="14.25" hidden="false" customHeight="true" outlineLevel="0" collapsed="false">
      <c r="A21" s="9" t="s">
        <v>15</v>
      </c>
      <c r="B21" s="9"/>
      <c r="C21" s="9"/>
      <c r="D21" s="9"/>
      <c r="E21" s="9"/>
      <c r="F21" s="9"/>
      <c r="G21" s="9"/>
      <c r="H21" s="9"/>
      <c r="I21" s="13"/>
      <c r="J21" s="13"/>
      <c r="K21" s="13"/>
    </row>
    <row r="22" customFormat="false" ht="14.25" hidden="false" customHeight="true" outlineLevel="0" collapsed="false">
      <c r="A22" s="14" t="s">
        <v>13</v>
      </c>
      <c r="B22" s="14" t="s">
        <v>2</v>
      </c>
      <c r="C22" s="14" t="s">
        <v>4</v>
      </c>
      <c r="D22" s="14" t="s">
        <v>6</v>
      </c>
      <c r="E22" s="14" t="s">
        <v>8</v>
      </c>
      <c r="F22" s="14" t="s">
        <v>10</v>
      </c>
      <c r="G22" s="14" t="s">
        <v>16</v>
      </c>
      <c r="H22" s="14" t="s">
        <v>17</v>
      </c>
      <c r="I22" s="15"/>
    </row>
    <row r="23" customFormat="false" ht="14.25" hidden="false" customHeight="true" outlineLevel="0" collapsed="false">
      <c r="A23" s="10" t="s">
        <v>2</v>
      </c>
      <c r="B23" s="20" t="n">
        <f aca="false">B14/B19</f>
        <v>0.437956204379562</v>
      </c>
      <c r="C23" s="20" t="n">
        <f aca="false">C14/C19</f>
        <v>0.489795918367347</v>
      </c>
      <c r="D23" s="20" t="n">
        <f aca="false">D14/D19</f>
        <v>0.439024390243902</v>
      </c>
      <c r="E23" s="20" t="n">
        <f aca="false">E14/E19</f>
        <v>0.380952380952381</v>
      </c>
      <c r="F23" s="20" t="n">
        <f aca="false">F14/F19</f>
        <v>0.333333333333333</v>
      </c>
      <c r="G23" s="21" t="n">
        <f aca="false">SUM(B23:F23)</f>
        <v>2.08106222727653</v>
      </c>
      <c r="H23" s="22" t="n">
        <f aca="false">G23/5</f>
        <v>0.416212445455305</v>
      </c>
    </row>
    <row r="24" customFormat="false" ht="14.25" hidden="false" customHeight="true" outlineLevel="0" collapsed="false">
      <c r="A24" s="10" t="s">
        <v>4</v>
      </c>
      <c r="B24" s="20" t="n">
        <f aca="false">B15/B19</f>
        <v>0.218978102189781</v>
      </c>
      <c r="C24" s="20" t="n">
        <f aca="false">C15/C19</f>
        <v>0.244897959183673</v>
      </c>
      <c r="D24" s="20" t="n">
        <f aca="false">D15/D19</f>
        <v>0.292682926829268</v>
      </c>
      <c r="E24" s="20" t="n">
        <f aca="false">E15/E19</f>
        <v>0.285714285714286</v>
      </c>
      <c r="F24" s="20" t="n">
        <f aca="false">F15/F19</f>
        <v>0.266666666666667</v>
      </c>
      <c r="G24" s="21" t="n">
        <f aca="false">SUM(B24:F24)</f>
        <v>1.30893994058368</v>
      </c>
      <c r="H24" s="22" t="n">
        <f aca="false">G24/5</f>
        <v>0.261787988116735</v>
      </c>
    </row>
    <row r="25" customFormat="false" ht="14.25" hidden="false" customHeight="true" outlineLevel="0" collapsed="false">
      <c r="A25" s="10" t="s">
        <v>6</v>
      </c>
      <c r="B25" s="20" t="n">
        <f aca="false">B16/B19</f>
        <v>0.145985401459854</v>
      </c>
      <c r="C25" s="20" t="n">
        <f aca="false">C16/C19</f>
        <v>0.122448979591837</v>
      </c>
      <c r="D25" s="20" t="n">
        <f aca="false">D16/D19</f>
        <v>0.146341463414634</v>
      </c>
      <c r="E25" s="20" t="n">
        <f aca="false">E16/E19</f>
        <v>0.19047619047619</v>
      </c>
      <c r="F25" s="20" t="n">
        <f aca="false">F16/F19</f>
        <v>0.2</v>
      </c>
      <c r="G25" s="21" t="n">
        <f aca="false">SUM(B25:F25)</f>
        <v>0.805252034942515</v>
      </c>
      <c r="H25" s="22" t="n">
        <f aca="false">G25/5</f>
        <v>0.161050406988503</v>
      </c>
    </row>
    <row r="26" customFormat="false" ht="14.25" hidden="false" customHeight="true" outlineLevel="0" collapsed="false">
      <c r="A26" s="10" t="s">
        <v>8</v>
      </c>
      <c r="B26" s="20" t="n">
        <f aca="false">B17/B19</f>
        <v>0.109489051094891</v>
      </c>
      <c r="C26" s="20" t="n">
        <f aca="false">C17/C19</f>
        <v>0.0816326530612245</v>
      </c>
      <c r="D26" s="20" t="n">
        <f aca="false">D17/D19</f>
        <v>0.0731707317073171</v>
      </c>
      <c r="E26" s="20" t="n">
        <f aca="false">E17/E19</f>
        <v>0.0952380952380952</v>
      </c>
      <c r="F26" s="20" t="n">
        <f aca="false">F17/F19</f>
        <v>0.133333333333333</v>
      </c>
      <c r="G26" s="21" t="n">
        <f aca="false">SUM(B26:F26)</f>
        <v>0.492863864434861</v>
      </c>
      <c r="H26" s="22" t="n">
        <f aca="false">G26/5</f>
        <v>0.0985727728869721</v>
      </c>
    </row>
    <row r="27" customFormat="false" ht="14.25" hidden="false" customHeight="true" outlineLevel="0" collapsed="false">
      <c r="A27" s="10" t="s">
        <v>10</v>
      </c>
      <c r="B27" s="20" t="n">
        <f aca="false">B18/B19</f>
        <v>0.0875912408759124</v>
      </c>
      <c r="C27" s="20" t="n">
        <f aca="false">C18/C19</f>
        <v>0.0612244897959184</v>
      </c>
      <c r="D27" s="20" t="n">
        <f aca="false">D18/D19</f>
        <v>0.0487804878048781</v>
      </c>
      <c r="E27" s="20" t="n">
        <f aca="false">E18/E19</f>
        <v>0.0476190476190476</v>
      </c>
      <c r="F27" s="20" t="n">
        <f aca="false">F18/F19</f>
        <v>0.0666666666666667</v>
      </c>
      <c r="G27" s="21" t="n">
        <f aca="false">SUM(B27:F27)</f>
        <v>0.311881932762423</v>
      </c>
      <c r="H27" s="22" t="n">
        <f aca="false">G27/5</f>
        <v>0.0623763865524846</v>
      </c>
    </row>
    <row r="28" customFormat="false" ht="14.25" hidden="false" customHeight="true" outlineLevel="0" collapsed="false">
      <c r="A28" s="18" t="s">
        <v>14</v>
      </c>
      <c r="B28" s="23" t="n">
        <f aca="false">SUM(B23:B27)</f>
        <v>1</v>
      </c>
      <c r="C28" s="23" t="n">
        <f aca="false">SUM(C23:C27)</f>
        <v>1</v>
      </c>
      <c r="D28" s="23" t="n">
        <f aca="false">SUM(D23:D27)</f>
        <v>1</v>
      </c>
      <c r="E28" s="23" t="n">
        <f aca="false">SUM(E23:E27)</f>
        <v>1</v>
      </c>
      <c r="F28" s="23" t="n">
        <f aca="false">SUM(F23:F27)</f>
        <v>1</v>
      </c>
      <c r="G28" s="19" t="n">
        <f aca="false">SUM(G23:G27)</f>
        <v>5</v>
      </c>
      <c r="H28" s="19" t="n">
        <f aca="false">SUM(H23:H27)</f>
        <v>1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9" t="s">
        <v>18</v>
      </c>
      <c r="B30" s="9"/>
      <c r="C30" s="9"/>
      <c r="D30" s="9"/>
    </row>
    <row r="31" customFormat="false" ht="14.25" hidden="false" customHeight="true" outlineLevel="0" collapsed="false">
      <c r="A31" s="24" t="s">
        <v>19</v>
      </c>
      <c r="B31" s="20" t="n">
        <f aca="false">(B19*H23)+(C19*H24)+(D19*H25)+(E19*H26)+(F19*H27)</f>
        <v>5.09049039662153</v>
      </c>
      <c r="C31" s="15"/>
    </row>
    <row r="32" customFormat="false" ht="14.25" hidden="false" customHeight="true" outlineLevel="0" collapsed="false">
      <c r="A32" s="24" t="s">
        <v>20</v>
      </c>
      <c r="B32" s="25" t="n">
        <v>5</v>
      </c>
    </row>
    <row r="33" customFormat="false" ht="14.25" hidden="false" customHeight="true" outlineLevel="0" collapsed="false">
      <c r="A33" s="24" t="s">
        <v>21</v>
      </c>
      <c r="B33" s="20" t="n">
        <f aca="false">(B31-B32)/(B32-1)</f>
        <v>0.0226225991553823</v>
      </c>
    </row>
    <row r="34" customFormat="false" ht="14.25" hidden="false" customHeight="true" outlineLevel="0" collapsed="false">
      <c r="A34" s="24" t="s">
        <v>22</v>
      </c>
      <c r="B34" s="26" t="n">
        <v>1.12</v>
      </c>
    </row>
    <row r="35" customFormat="false" ht="14.25" hidden="false" customHeight="true" outlineLevel="0" collapsed="false">
      <c r="A35" s="24" t="s">
        <v>23</v>
      </c>
      <c r="B35" s="27" t="n">
        <f aca="false">B33/B34</f>
        <v>0.0201987492458771</v>
      </c>
    </row>
    <row r="36" customFormat="false" ht="14.25" hidden="false" customHeight="true" outlineLevel="0" collapsed="false">
      <c r="A36" s="24" t="s">
        <v>24</v>
      </c>
      <c r="B36" s="28" t="str">
        <f aca="false">IF(B35&lt;=0.1,"KONSISTEN ✓","TIDAK KONSISTEN ✗")</f>
        <v>KONSISTEN ✓</v>
      </c>
    </row>
  </sheetData>
  <mergeCells count="5">
    <mergeCell ref="A1:F2"/>
    <mergeCell ref="A4:C4"/>
    <mergeCell ref="A12:F12"/>
    <mergeCell ref="A21:H21"/>
    <mergeCell ref="A30:D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4.86"/>
    <col collapsed="false" customWidth="true" hidden="false" outlineLevel="0" max="2" min="2" style="1" width="18.58"/>
    <col collapsed="false" customWidth="true" hidden="false" outlineLevel="0" max="8" min="8" style="1" width="14.42"/>
  </cols>
  <sheetData>
    <row r="1" customFormat="false" ht="14.25" hidden="false" customHeight="true" outlineLevel="0" collapsed="false">
      <c r="E1" s="29" t="s">
        <v>25</v>
      </c>
      <c r="F1" s="29"/>
      <c r="G1" s="29"/>
      <c r="H1" s="29"/>
    </row>
    <row r="2" customFormat="false" ht="14.25" hidden="false" customHeight="true" outlineLevel="0" collapsed="false">
      <c r="A2" s="9" t="s">
        <v>26</v>
      </c>
      <c r="B2" s="9"/>
      <c r="C2" s="9"/>
    </row>
    <row r="3" customFormat="false" ht="14.25" hidden="false" customHeight="true" outlineLevel="0" collapsed="false">
      <c r="A3" s="10" t="s">
        <v>2</v>
      </c>
      <c r="B3" s="30" t="s">
        <v>27</v>
      </c>
      <c r="C3" s="12"/>
    </row>
    <row r="4" customFormat="false" ht="14.25" hidden="false" customHeight="true" outlineLevel="0" collapsed="false">
      <c r="A4" s="10" t="s">
        <v>4</v>
      </c>
      <c r="B4" s="31" t="s">
        <v>28</v>
      </c>
      <c r="C4" s="12"/>
    </row>
    <row r="5" customFormat="false" ht="14.25" hidden="false" customHeight="true" outlineLevel="0" collapsed="false">
      <c r="A5" s="10" t="s">
        <v>6</v>
      </c>
      <c r="B5" s="32" t="s">
        <v>29</v>
      </c>
      <c r="C5" s="12"/>
    </row>
    <row r="6" customFormat="false" ht="14.25" hidden="false" customHeight="true" outlineLevel="0" collapsed="false">
      <c r="A6" s="10" t="s">
        <v>8</v>
      </c>
      <c r="B6" s="33" t="s">
        <v>30</v>
      </c>
      <c r="C6" s="12"/>
    </row>
    <row r="7" customFormat="false" ht="14.25" hidden="false" customHeight="true" outlineLevel="0" collapsed="false">
      <c r="A7" s="10" t="s">
        <v>10</v>
      </c>
      <c r="B7" s="34" t="s">
        <v>31</v>
      </c>
      <c r="C7" s="12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>
      <c r="A10" s="9" t="s">
        <v>12</v>
      </c>
      <c r="B10" s="9"/>
      <c r="C10" s="9"/>
      <c r="D10" s="9"/>
      <c r="E10" s="9"/>
      <c r="F10" s="9"/>
      <c r="G10" s="13"/>
      <c r="H10" s="13"/>
      <c r="I10" s="13"/>
      <c r="J10" s="13"/>
      <c r="K10" s="13"/>
    </row>
    <row r="11" customFormat="false" ht="14.25" hidden="false" customHeight="true" outlineLevel="0" collapsed="false">
      <c r="A11" s="14" t="s">
        <v>13</v>
      </c>
      <c r="B11" s="14" t="s">
        <v>2</v>
      </c>
      <c r="C11" s="14" t="s">
        <v>4</v>
      </c>
      <c r="D11" s="14" t="s">
        <v>6</v>
      </c>
      <c r="E11" s="14" t="s">
        <v>8</v>
      </c>
      <c r="F11" s="14" t="s">
        <v>10</v>
      </c>
    </row>
    <row r="12" customFormat="false" ht="14.25" hidden="false" customHeight="true" outlineLevel="0" collapsed="false">
      <c r="A12" s="10" t="s">
        <v>2</v>
      </c>
      <c r="B12" s="10" t="n">
        <v>1</v>
      </c>
      <c r="C12" s="16" t="n">
        <v>3</v>
      </c>
      <c r="D12" s="16" t="n">
        <v>5</v>
      </c>
      <c r="E12" s="16" t="n">
        <v>7</v>
      </c>
      <c r="F12" s="16" t="n">
        <v>9</v>
      </c>
    </row>
    <row r="13" customFormat="false" ht="14.25" hidden="false" customHeight="true" outlineLevel="0" collapsed="false">
      <c r="A13" s="10" t="s">
        <v>4</v>
      </c>
      <c r="B13" s="17" t="n">
        <f aca="false">1/C12</f>
        <v>0.333333333333333</v>
      </c>
      <c r="C13" s="10" t="n">
        <v>1</v>
      </c>
      <c r="D13" s="16" t="n">
        <v>3</v>
      </c>
      <c r="E13" s="16" t="n">
        <v>5</v>
      </c>
      <c r="F13" s="16" t="n">
        <v>6</v>
      </c>
    </row>
    <row r="14" customFormat="false" ht="14.25" hidden="false" customHeight="true" outlineLevel="0" collapsed="false">
      <c r="A14" s="10" t="s">
        <v>6</v>
      </c>
      <c r="B14" s="17" t="n">
        <f aca="false">1/D12</f>
        <v>0.2</v>
      </c>
      <c r="C14" s="17" t="n">
        <f aca="false">1/D13</f>
        <v>0.333333333333333</v>
      </c>
      <c r="D14" s="10" t="n">
        <v>1</v>
      </c>
      <c r="E14" s="16" t="n">
        <v>2</v>
      </c>
      <c r="F14" s="16" t="n">
        <v>4</v>
      </c>
    </row>
    <row r="15" customFormat="false" ht="14.25" hidden="false" customHeight="true" outlineLevel="0" collapsed="false">
      <c r="A15" s="10" t="s">
        <v>8</v>
      </c>
      <c r="B15" s="17" t="n">
        <f aca="false">1/E12</f>
        <v>0.142857142857143</v>
      </c>
      <c r="C15" s="17" t="n">
        <f aca="false">1/E13</f>
        <v>0.2</v>
      </c>
      <c r="D15" s="17" t="n">
        <f aca="false">1/E14</f>
        <v>0.5</v>
      </c>
      <c r="E15" s="10" t="n">
        <v>1</v>
      </c>
      <c r="F15" s="16" t="n">
        <v>3</v>
      </c>
    </row>
    <row r="16" customFormat="false" ht="14.25" hidden="false" customHeight="true" outlineLevel="0" collapsed="false">
      <c r="A16" s="10" t="s">
        <v>10</v>
      </c>
      <c r="B16" s="17" t="n">
        <f aca="false">1/F12</f>
        <v>0.111111111111111</v>
      </c>
      <c r="C16" s="17" t="n">
        <f aca="false">1/F13</f>
        <v>0.166666666666667</v>
      </c>
      <c r="D16" s="17" t="n">
        <f aca="false">1/F14</f>
        <v>0.25</v>
      </c>
      <c r="E16" s="17" t="n">
        <f aca="false">1/F15</f>
        <v>0.333333333333333</v>
      </c>
      <c r="F16" s="10" t="n">
        <v>1</v>
      </c>
    </row>
    <row r="17" customFormat="false" ht="14.25" hidden="false" customHeight="true" outlineLevel="0" collapsed="false">
      <c r="A17" s="18" t="s">
        <v>14</v>
      </c>
      <c r="B17" s="19" t="n">
        <f aca="false">SUM(B12:B16)</f>
        <v>1.78730158730159</v>
      </c>
      <c r="C17" s="19" t="n">
        <f aca="false">SUM(C12:C16)</f>
        <v>4.7</v>
      </c>
      <c r="D17" s="19" t="n">
        <f aca="false">SUM(D12:D16)</f>
        <v>9.75</v>
      </c>
      <c r="E17" s="19" t="n">
        <f aca="false">SUM(E12:E16)</f>
        <v>15.3333333333333</v>
      </c>
      <c r="F17" s="19" t="n">
        <f aca="false">SUM(F12:F16)</f>
        <v>23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9" t="s">
        <v>15</v>
      </c>
      <c r="B19" s="9"/>
      <c r="C19" s="9"/>
      <c r="D19" s="9"/>
      <c r="E19" s="9"/>
      <c r="F19" s="9"/>
      <c r="G19" s="9"/>
      <c r="H19" s="9"/>
      <c r="I19" s="13"/>
      <c r="J19" s="13"/>
      <c r="K19" s="13"/>
    </row>
    <row r="20" customFormat="false" ht="14.25" hidden="false" customHeight="true" outlineLevel="0" collapsed="false">
      <c r="A20" s="14" t="s">
        <v>13</v>
      </c>
      <c r="B20" s="14" t="s">
        <v>2</v>
      </c>
      <c r="C20" s="14" t="s">
        <v>4</v>
      </c>
      <c r="D20" s="14" t="s">
        <v>6</v>
      </c>
      <c r="E20" s="14" t="s">
        <v>8</v>
      </c>
      <c r="F20" s="14" t="s">
        <v>10</v>
      </c>
      <c r="G20" s="14" t="s">
        <v>16</v>
      </c>
      <c r="H20" s="14" t="s">
        <v>17</v>
      </c>
    </row>
    <row r="21" customFormat="false" ht="14.25" hidden="false" customHeight="true" outlineLevel="0" collapsed="false">
      <c r="A21" s="10" t="s">
        <v>2</v>
      </c>
      <c r="B21" s="20" t="n">
        <f aca="false">B12/B17</f>
        <v>0.559502664298401</v>
      </c>
      <c r="C21" s="20" t="n">
        <f aca="false">C12/C17</f>
        <v>0.638297872340426</v>
      </c>
      <c r="D21" s="20" t="n">
        <f aca="false">D12/D17</f>
        <v>0.512820512820513</v>
      </c>
      <c r="E21" s="20" t="n">
        <f aca="false">E12/E17</f>
        <v>0.456521739130435</v>
      </c>
      <c r="F21" s="20" t="n">
        <f aca="false">F12/F17</f>
        <v>0.391304347826087</v>
      </c>
      <c r="G21" s="21" t="n">
        <f aca="false">SUM(B21:F21)</f>
        <v>2.55844713641586</v>
      </c>
      <c r="H21" s="22" t="n">
        <f aca="false">G21/5</f>
        <v>0.511689427283172</v>
      </c>
    </row>
    <row r="22" customFormat="false" ht="14.25" hidden="false" customHeight="true" outlineLevel="0" collapsed="false">
      <c r="A22" s="10" t="s">
        <v>4</v>
      </c>
      <c r="B22" s="20" t="n">
        <f aca="false">B13/B17</f>
        <v>0.186500888099467</v>
      </c>
      <c r="C22" s="20" t="n">
        <f aca="false">C13/C17</f>
        <v>0.212765957446809</v>
      </c>
      <c r="D22" s="20" t="n">
        <f aca="false">D13/D17</f>
        <v>0.307692307692308</v>
      </c>
      <c r="E22" s="20" t="n">
        <f aca="false">E13/E17</f>
        <v>0.326086956521739</v>
      </c>
      <c r="F22" s="20" t="n">
        <f aca="false">F13/F17</f>
        <v>0.260869565217391</v>
      </c>
      <c r="G22" s="21" t="n">
        <f aca="false">SUM(B22:F22)</f>
        <v>1.29391567497771</v>
      </c>
      <c r="H22" s="22" t="n">
        <f aca="false">G22/5</f>
        <v>0.258783134995543</v>
      </c>
    </row>
    <row r="23" customFormat="false" ht="14.25" hidden="false" customHeight="true" outlineLevel="0" collapsed="false">
      <c r="A23" s="10" t="s">
        <v>6</v>
      </c>
      <c r="B23" s="20" t="n">
        <f aca="false">B14/B17</f>
        <v>0.11190053285968</v>
      </c>
      <c r="C23" s="20" t="n">
        <f aca="false">C14/C17</f>
        <v>0.0709219858156028</v>
      </c>
      <c r="D23" s="20" t="n">
        <f aca="false">D14/D17</f>
        <v>0.102564102564103</v>
      </c>
      <c r="E23" s="20" t="n">
        <f aca="false">E14/E17</f>
        <v>0.130434782608696</v>
      </c>
      <c r="F23" s="20" t="n">
        <f aca="false">F14/F17</f>
        <v>0.173913043478261</v>
      </c>
      <c r="G23" s="21" t="n">
        <f aca="false">SUM(B23:F23)</f>
        <v>0.589734447326342</v>
      </c>
      <c r="H23" s="22" t="n">
        <f aca="false">G23/5</f>
        <v>0.117946889465268</v>
      </c>
    </row>
    <row r="24" customFormat="false" ht="14.25" hidden="false" customHeight="true" outlineLevel="0" collapsed="false">
      <c r="A24" s="10" t="s">
        <v>8</v>
      </c>
      <c r="B24" s="20" t="n">
        <f aca="false">B15/B17</f>
        <v>0.0799289520426288</v>
      </c>
      <c r="C24" s="20" t="n">
        <f aca="false">C15/C17</f>
        <v>0.0425531914893617</v>
      </c>
      <c r="D24" s="20" t="n">
        <f aca="false">D15/D17</f>
        <v>0.0512820512820513</v>
      </c>
      <c r="E24" s="20" t="n">
        <f aca="false">E15/E17</f>
        <v>0.0652173913043478</v>
      </c>
      <c r="F24" s="20" t="n">
        <f aca="false">F15/F17</f>
        <v>0.130434782608696</v>
      </c>
      <c r="G24" s="21" t="n">
        <f aca="false">SUM(B24:F24)</f>
        <v>0.369416368727085</v>
      </c>
      <c r="H24" s="22" t="n">
        <f aca="false">G24/5</f>
        <v>0.0738832737454171</v>
      </c>
    </row>
    <row r="25" customFormat="false" ht="14.25" hidden="false" customHeight="true" outlineLevel="0" collapsed="false">
      <c r="A25" s="10" t="s">
        <v>10</v>
      </c>
      <c r="B25" s="20" t="n">
        <f aca="false">B16/B17</f>
        <v>0.0621669626998224</v>
      </c>
      <c r="C25" s="20" t="n">
        <f aca="false">C16/C17</f>
        <v>0.0354609929078014</v>
      </c>
      <c r="D25" s="20" t="n">
        <f aca="false">D16/D17</f>
        <v>0.0256410256410256</v>
      </c>
      <c r="E25" s="20" t="n">
        <f aca="false">E16/E17</f>
        <v>0.0217391304347826</v>
      </c>
      <c r="F25" s="20" t="n">
        <f aca="false">F16/F17</f>
        <v>0.0434782608695652</v>
      </c>
      <c r="G25" s="21" t="n">
        <f aca="false">SUM(B25:F25)</f>
        <v>0.188486372552997</v>
      </c>
      <c r="H25" s="22" t="n">
        <f aca="false">G25/5</f>
        <v>0.0376972745105995</v>
      </c>
    </row>
    <row r="26" customFormat="false" ht="14.25" hidden="false" customHeight="true" outlineLevel="0" collapsed="false">
      <c r="A26" s="18" t="s">
        <v>14</v>
      </c>
      <c r="B26" s="19" t="n">
        <f aca="false">SUM(B21:B25)</f>
        <v>1</v>
      </c>
      <c r="C26" s="19" t="n">
        <f aca="false">SUM(C21:C25)</f>
        <v>1</v>
      </c>
      <c r="D26" s="19" t="n">
        <f aca="false">SUM(D21:D25)</f>
        <v>1</v>
      </c>
      <c r="E26" s="19" t="n">
        <f aca="false">SUM(E21:E25)</f>
        <v>1</v>
      </c>
      <c r="F26" s="19" t="n">
        <f aca="false">SUM(F21:F25)</f>
        <v>1</v>
      </c>
      <c r="G26" s="19" t="n">
        <f aca="false">SUM(G21:G25)</f>
        <v>5</v>
      </c>
      <c r="H26" s="19" t="n">
        <f aca="false">SUM(H21:H25)</f>
        <v>1</v>
      </c>
    </row>
    <row r="27" customFormat="false" ht="14.25" hidden="false" customHeight="true" outlineLevel="0" collapsed="false">
      <c r="C27" s="35"/>
      <c r="D27" s="35"/>
    </row>
    <row r="28" customFormat="false" ht="14.25" hidden="false" customHeight="true" outlineLevel="0" collapsed="false">
      <c r="A28" s="9" t="s">
        <v>18</v>
      </c>
      <c r="B28" s="9"/>
      <c r="C28" s="13"/>
      <c r="D28" s="13"/>
    </row>
    <row r="29" customFormat="false" ht="14.25" hidden="false" customHeight="true" outlineLevel="0" collapsed="false">
      <c r="A29" s="24" t="s">
        <v>19</v>
      </c>
      <c r="B29" s="20" t="n">
        <f aca="false">(B17*H21)+(C17*H22)+(D17*H23)+(E17*H24)+(F17*H25)</f>
        <v>5.28072041019425</v>
      </c>
    </row>
    <row r="30" customFormat="false" ht="14.25" hidden="false" customHeight="true" outlineLevel="0" collapsed="false">
      <c r="A30" s="24" t="s">
        <v>20</v>
      </c>
      <c r="B30" s="25" t="n">
        <v>5</v>
      </c>
    </row>
    <row r="31" customFormat="false" ht="14.25" hidden="false" customHeight="true" outlineLevel="0" collapsed="false">
      <c r="A31" s="24" t="s">
        <v>21</v>
      </c>
      <c r="B31" s="20" t="n">
        <f aca="false">(B29-B30)/(B30-1)</f>
        <v>0.0701801025485636</v>
      </c>
    </row>
    <row r="32" customFormat="false" ht="14.25" hidden="false" customHeight="true" outlineLevel="0" collapsed="false">
      <c r="A32" s="24" t="s">
        <v>22</v>
      </c>
      <c r="B32" s="26" t="n">
        <v>1.12</v>
      </c>
    </row>
    <row r="33" customFormat="false" ht="14.25" hidden="false" customHeight="true" outlineLevel="0" collapsed="false">
      <c r="A33" s="24" t="s">
        <v>23</v>
      </c>
      <c r="B33" s="27" t="n">
        <f aca="false">B31/B32</f>
        <v>0.0626608058469317</v>
      </c>
    </row>
    <row r="34" customFormat="false" ht="14.25" hidden="false" customHeight="true" outlineLevel="0" collapsed="false">
      <c r="A34" s="24" t="s">
        <v>24</v>
      </c>
      <c r="B34" s="28" t="str">
        <f aca="false">IF(B33&lt;=0.1,"KONSISTEN ✓","TIDAK KONSISTEN ✗")</f>
        <v>KONSISTEN ✓</v>
      </c>
    </row>
  </sheetData>
  <mergeCells count="5">
    <mergeCell ref="E1:H1"/>
    <mergeCell ref="A2:C2"/>
    <mergeCell ref="A10:F10"/>
    <mergeCell ref="A19:H19"/>
    <mergeCell ref="A28:B28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3.71"/>
    <col collapsed="false" customWidth="true" hidden="false" outlineLevel="0" max="2" min="2" style="1" width="18.58"/>
    <col collapsed="false" customWidth="true" hidden="false" outlineLevel="0" max="7" min="3" style="1" width="9.14"/>
    <col collapsed="false" customWidth="true" hidden="false" outlineLevel="0" max="8" min="8" style="1" width="14.42"/>
    <col collapsed="false" customWidth="true" hidden="false" outlineLevel="0" max="12" min="9" style="1" width="9.14"/>
  </cols>
  <sheetData>
    <row r="1" customFormat="false" ht="14.25" hidden="false" customHeight="true" outlineLevel="0" collapsed="false">
      <c r="E1" s="36" t="s">
        <v>32</v>
      </c>
      <c r="F1" s="36"/>
      <c r="G1" s="36"/>
      <c r="H1" s="36"/>
    </row>
    <row r="2" customFormat="false" ht="14.25" hidden="false" customHeight="true" outlineLevel="0" collapsed="false">
      <c r="A2" s="9" t="s">
        <v>26</v>
      </c>
      <c r="B2" s="9"/>
      <c r="C2" s="9"/>
    </row>
    <row r="3" customFormat="false" ht="14.25" hidden="false" customHeight="true" outlineLevel="0" collapsed="false">
      <c r="A3" s="10" t="s">
        <v>2</v>
      </c>
      <c r="B3" s="30" t="s">
        <v>33</v>
      </c>
      <c r="C3" s="12"/>
    </row>
    <row r="4" customFormat="false" ht="14.25" hidden="false" customHeight="true" outlineLevel="0" collapsed="false">
      <c r="A4" s="10" t="s">
        <v>4</v>
      </c>
      <c r="B4" s="31" t="s">
        <v>34</v>
      </c>
      <c r="C4" s="12"/>
    </row>
    <row r="5" customFormat="false" ht="14.25" hidden="false" customHeight="true" outlineLevel="0" collapsed="false">
      <c r="A5" s="10" t="s">
        <v>6</v>
      </c>
      <c r="B5" s="32" t="s">
        <v>35</v>
      </c>
      <c r="C5" s="12"/>
    </row>
    <row r="6" customFormat="false" ht="14.25" hidden="false" customHeight="true" outlineLevel="0" collapsed="false">
      <c r="A6" s="10" t="s">
        <v>8</v>
      </c>
      <c r="B6" s="33" t="s">
        <v>36</v>
      </c>
      <c r="C6" s="12"/>
    </row>
    <row r="7" customFormat="false" ht="14.25" hidden="false" customHeight="true" outlineLevel="0" collapsed="false">
      <c r="A7" s="10" t="s">
        <v>10</v>
      </c>
      <c r="B7" s="34" t="s">
        <v>37</v>
      </c>
      <c r="C7" s="12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>
      <c r="A10" s="9" t="s">
        <v>12</v>
      </c>
      <c r="B10" s="9"/>
      <c r="C10" s="9"/>
      <c r="D10" s="9"/>
      <c r="E10" s="9"/>
      <c r="F10" s="9"/>
      <c r="G10" s="37"/>
      <c r="H10" s="37"/>
      <c r="I10" s="37"/>
      <c r="J10" s="37"/>
      <c r="K10" s="37"/>
    </row>
    <row r="11" customFormat="false" ht="14.25" hidden="false" customHeight="true" outlineLevel="0" collapsed="false">
      <c r="A11" s="14" t="s">
        <v>13</v>
      </c>
      <c r="B11" s="14" t="s">
        <v>2</v>
      </c>
      <c r="C11" s="14" t="s">
        <v>4</v>
      </c>
      <c r="D11" s="14" t="s">
        <v>6</v>
      </c>
      <c r="E11" s="14" t="s">
        <v>8</v>
      </c>
      <c r="F11" s="14" t="s">
        <v>10</v>
      </c>
    </row>
    <row r="12" customFormat="false" ht="14.25" hidden="false" customHeight="true" outlineLevel="0" collapsed="false">
      <c r="A12" s="10" t="s">
        <v>2</v>
      </c>
      <c r="B12" s="10" t="n">
        <v>1</v>
      </c>
      <c r="C12" s="16" t="n">
        <v>3</v>
      </c>
      <c r="D12" s="16" t="n">
        <v>5</v>
      </c>
      <c r="E12" s="16" t="n">
        <v>7</v>
      </c>
      <c r="F12" s="16" t="n">
        <v>9</v>
      </c>
    </row>
    <row r="13" customFormat="false" ht="14.25" hidden="false" customHeight="true" outlineLevel="0" collapsed="false">
      <c r="A13" s="10" t="s">
        <v>4</v>
      </c>
      <c r="B13" s="17" t="n">
        <f aca="false">1/C12</f>
        <v>0.333333333333333</v>
      </c>
      <c r="C13" s="10" t="n">
        <v>1</v>
      </c>
      <c r="D13" s="16" t="n">
        <v>3</v>
      </c>
      <c r="E13" s="16" t="n">
        <v>5</v>
      </c>
      <c r="F13" s="16" t="n">
        <v>7</v>
      </c>
    </row>
    <row r="14" customFormat="false" ht="14.25" hidden="false" customHeight="true" outlineLevel="0" collapsed="false">
      <c r="A14" s="10" t="s">
        <v>6</v>
      </c>
      <c r="B14" s="17" t="n">
        <f aca="false">1/D12</f>
        <v>0.2</v>
      </c>
      <c r="C14" s="17" t="n">
        <f aca="false">1/D13</f>
        <v>0.333333333333333</v>
      </c>
      <c r="D14" s="10" t="n">
        <v>1</v>
      </c>
      <c r="E14" s="16" t="n">
        <v>3</v>
      </c>
      <c r="F14" s="16" t="n">
        <v>5</v>
      </c>
    </row>
    <row r="15" customFormat="false" ht="14.25" hidden="false" customHeight="true" outlineLevel="0" collapsed="false">
      <c r="A15" s="10" t="s">
        <v>8</v>
      </c>
      <c r="B15" s="17" t="n">
        <f aca="false">1/E12</f>
        <v>0.142857142857143</v>
      </c>
      <c r="C15" s="17" t="n">
        <f aca="false">1/E13</f>
        <v>0.2</v>
      </c>
      <c r="D15" s="17" t="n">
        <f aca="false">1/E14</f>
        <v>0.333333333333333</v>
      </c>
      <c r="E15" s="10" t="n">
        <v>1</v>
      </c>
      <c r="F15" s="16" t="n">
        <v>3</v>
      </c>
    </row>
    <row r="16" customFormat="false" ht="14.25" hidden="false" customHeight="true" outlineLevel="0" collapsed="false">
      <c r="A16" s="10" t="s">
        <v>10</v>
      </c>
      <c r="B16" s="17" t="n">
        <f aca="false">1/F12</f>
        <v>0.111111111111111</v>
      </c>
      <c r="C16" s="17" t="n">
        <f aca="false">1/F13</f>
        <v>0.142857142857143</v>
      </c>
      <c r="D16" s="17" t="n">
        <f aca="false">1/F14</f>
        <v>0.2</v>
      </c>
      <c r="E16" s="17" t="n">
        <f aca="false">1/F15</f>
        <v>0.333333333333333</v>
      </c>
      <c r="F16" s="10" t="n">
        <v>1</v>
      </c>
    </row>
    <row r="17" customFormat="false" ht="14.25" hidden="false" customHeight="true" outlineLevel="0" collapsed="false">
      <c r="A17" s="18" t="s">
        <v>14</v>
      </c>
      <c r="B17" s="19" t="n">
        <f aca="false">SUM(B12:B16)</f>
        <v>1.78730158730159</v>
      </c>
      <c r="C17" s="19" t="n">
        <f aca="false">SUM(C12:C16)</f>
        <v>4.67619047619048</v>
      </c>
      <c r="D17" s="19" t="n">
        <f aca="false">SUM(D12:D16)</f>
        <v>9.53333333333333</v>
      </c>
      <c r="E17" s="19" t="n">
        <f aca="false">SUM(E12:E16)</f>
        <v>16.3333333333333</v>
      </c>
      <c r="F17" s="19" t="n">
        <f aca="false">SUM(F12:F16)</f>
        <v>25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9" t="s">
        <v>15</v>
      </c>
      <c r="B19" s="9"/>
      <c r="C19" s="9"/>
      <c r="D19" s="9"/>
      <c r="E19" s="9"/>
      <c r="F19" s="9"/>
      <c r="G19" s="9"/>
      <c r="H19" s="9"/>
      <c r="I19" s="13"/>
      <c r="J19" s="13"/>
      <c r="K19" s="13"/>
    </row>
    <row r="20" customFormat="false" ht="14.25" hidden="false" customHeight="true" outlineLevel="0" collapsed="false">
      <c r="A20" s="14" t="s">
        <v>13</v>
      </c>
      <c r="B20" s="14" t="s">
        <v>2</v>
      </c>
      <c r="C20" s="14" t="s">
        <v>4</v>
      </c>
      <c r="D20" s="14" t="s">
        <v>6</v>
      </c>
      <c r="E20" s="14" t="s">
        <v>8</v>
      </c>
      <c r="F20" s="14" t="s">
        <v>10</v>
      </c>
      <c r="G20" s="14" t="s">
        <v>16</v>
      </c>
      <c r="H20" s="14" t="s">
        <v>17</v>
      </c>
    </row>
    <row r="21" customFormat="false" ht="14.25" hidden="false" customHeight="true" outlineLevel="0" collapsed="false">
      <c r="A21" s="10" t="s">
        <v>2</v>
      </c>
      <c r="B21" s="20" t="n">
        <f aca="false">B12/B17</f>
        <v>0.559502664298401</v>
      </c>
      <c r="C21" s="20" t="n">
        <f aca="false">C12/C17</f>
        <v>0.641547861507128</v>
      </c>
      <c r="D21" s="20" t="n">
        <f aca="false">D12/D17</f>
        <v>0.524475524475525</v>
      </c>
      <c r="E21" s="20" t="n">
        <f aca="false">E12/E17</f>
        <v>0.428571428571429</v>
      </c>
      <c r="F21" s="20" t="n">
        <f aca="false">F12/F17</f>
        <v>0.36</v>
      </c>
      <c r="G21" s="21" t="n">
        <f aca="false">SUM(B21:F21)</f>
        <v>2.51409747885248</v>
      </c>
      <c r="H21" s="22" t="n">
        <f aca="false">G21/5</f>
        <v>0.502819495770497</v>
      </c>
    </row>
    <row r="22" customFormat="false" ht="14.25" hidden="false" customHeight="true" outlineLevel="0" collapsed="false">
      <c r="A22" s="10" t="s">
        <v>4</v>
      </c>
      <c r="B22" s="20" t="n">
        <f aca="false">B13/B17</f>
        <v>0.186500888099467</v>
      </c>
      <c r="C22" s="20" t="n">
        <f aca="false">C13/C17</f>
        <v>0.213849287169043</v>
      </c>
      <c r="D22" s="20" t="n">
        <f aca="false">D13/D17</f>
        <v>0.314685314685315</v>
      </c>
      <c r="E22" s="20" t="n">
        <f aca="false">E13/E17</f>
        <v>0.306122448979592</v>
      </c>
      <c r="F22" s="20" t="n">
        <f aca="false">F13/F17</f>
        <v>0.28</v>
      </c>
      <c r="G22" s="21" t="n">
        <f aca="false">SUM(B22:F22)</f>
        <v>1.30115793893342</v>
      </c>
      <c r="H22" s="22" t="n">
        <f aca="false">G22/5</f>
        <v>0.260231587786683</v>
      </c>
    </row>
    <row r="23" customFormat="false" ht="14.25" hidden="false" customHeight="true" outlineLevel="0" collapsed="false">
      <c r="A23" s="10" t="s">
        <v>6</v>
      </c>
      <c r="B23" s="20" t="n">
        <f aca="false">B14/B17</f>
        <v>0.11190053285968</v>
      </c>
      <c r="C23" s="20" t="n">
        <f aca="false">C14/C17</f>
        <v>0.0712830957230143</v>
      </c>
      <c r="D23" s="20" t="n">
        <f aca="false">D14/D17</f>
        <v>0.104895104895105</v>
      </c>
      <c r="E23" s="20" t="n">
        <f aca="false">E14/E17</f>
        <v>0.183673469387755</v>
      </c>
      <c r="F23" s="20" t="n">
        <f aca="false">F14/F17</f>
        <v>0.2</v>
      </c>
      <c r="G23" s="21" t="n">
        <f aca="false">SUM(B23:F23)</f>
        <v>0.671752202865555</v>
      </c>
      <c r="H23" s="22" t="n">
        <f aca="false">G23/5</f>
        <v>0.134350440573111</v>
      </c>
    </row>
    <row r="24" customFormat="false" ht="14.25" hidden="false" customHeight="true" outlineLevel="0" collapsed="false">
      <c r="A24" s="10" t="s">
        <v>8</v>
      </c>
      <c r="B24" s="20" t="n">
        <f aca="false">B15/B17</f>
        <v>0.0799289520426288</v>
      </c>
      <c r="C24" s="20" t="n">
        <f aca="false">C15/C17</f>
        <v>0.0427698574338086</v>
      </c>
      <c r="D24" s="20" t="n">
        <f aca="false">D15/D17</f>
        <v>0.034965034965035</v>
      </c>
      <c r="E24" s="20" t="n">
        <f aca="false">E15/E17</f>
        <v>0.0612244897959184</v>
      </c>
      <c r="F24" s="20" t="n">
        <f aca="false">F15/F17</f>
        <v>0.12</v>
      </c>
      <c r="G24" s="21" t="n">
        <f aca="false">SUM(B24:F24)</f>
        <v>0.338888334237391</v>
      </c>
      <c r="H24" s="22" t="n">
        <f aca="false">G24/5</f>
        <v>0.0677776668474781</v>
      </c>
    </row>
    <row r="25" customFormat="false" ht="14.25" hidden="false" customHeight="true" outlineLevel="0" collapsed="false">
      <c r="A25" s="10" t="s">
        <v>10</v>
      </c>
      <c r="B25" s="20" t="n">
        <f aca="false">B16/B17</f>
        <v>0.0621669626998224</v>
      </c>
      <c r="C25" s="20" t="n">
        <f aca="false">C16/C17</f>
        <v>0.0305498981670061</v>
      </c>
      <c r="D25" s="20" t="n">
        <f aca="false">D16/D17</f>
        <v>0.020979020979021</v>
      </c>
      <c r="E25" s="20" t="n">
        <f aca="false">E16/E17</f>
        <v>0.0204081632653061</v>
      </c>
      <c r="F25" s="20" t="n">
        <f aca="false">F16/F17</f>
        <v>0.04</v>
      </c>
      <c r="G25" s="21" t="n">
        <f aca="false">SUM(B25:F25)</f>
        <v>0.174104045111156</v>
      </c>
      <c r="H25" s="22" t="n">
        <f aca="false">G25/5</f>
        <v>0.0348208090222311</v>
      </c>
    </row>
    <row r="26" customFormat="false" ht="14.25" hidden="false" customHeight="true" outlineLevel="0" collapsed="false">
      <c r="A26" s="18" t="s">
        <v>14</v>
      </c>
      <c r="B26" s="38" t="n">
        <f aca="false">SUM(B21:B25)</f>
        <v>1</v>
      </c>
      <c r="C26" s="38" t="n">
        <f aca="false">SUM(C21:C25)</f>
        <v>1</v>
      </c>
      <c r="D26" s="38" t="n">
        <f aca="false">SUM(D21:D25)</f>
        <v>1</v>
      </c>
      <c r="E26" s="38" t="n">
        <f aca="false">SUM(E21:E25)</f>
        <v>1</v>
      </c>
      <c r="F26" s="38" t="n">
        <f aca="false">SUM(F21:F25)</f>
        <v>1</v>
      </c>
      <c r="G26" s="38" t="n">
        <f aca="false">SUM(G21:G25)</f>
        <v>5</v>
      </c>
      <c r="H26" s="38" t="n">
        <f aca="false">SUM(H21:H25)</f>
        <v>1</v>
      </c>
    </row>
    <row r="27" customFormat="false" ht="14.25" hidden="false" customHeight="true" outlineLevel="0" collapsed="false"/>
    <row r="28" customFormat="false" ht="14.25" hidden="false" customHeight="true" outlineLevel="0" collapsed="false">
      <c r="A28" s="9" t="s">
        <v>18</v>
      </c>
      <c r="B28" s="9"/>
      <c r="C28" s="13"/>
      <c r="D28" s="13"/>
    </row>
    <row r="29" customFormat="false" ht="14.25" hidden="false" customHeight="true" outlineLevel="0" collapsed="false">
      <c r="A29" s="24" t="s">
        <v>19</v>
      </c>
      <c r="B29" s="20" t="n">
        <f aca="false">(B17*H21)+(C17*H22)+(D17*H23)+(E17*H24)+(F17*H25)</f>
        <v>5.37394553952372</v>
      </c>
    </row>
    <row r="30" customFormat="false" ht="14.25" hidden="false" customHeight="true" outlineLevel="0" collapsed="false">
      <c r="A30" s="24" t="s">
        <v>20</v>
      </c>
      <c r="B30" s="25" t="n">
        <v>5</v>
      </c>
    </row>
    <row r="31" customFormat="false" ht="14.25" hidden="false" customHeight="true" outlineLevel="0" collapsed="false">
      <c r="A31" s="24" t="s">
        <v>21</v>
      </c>
      <c r="B31" s="20" t="n">
        <f aca="false">(B29-B30)/(B30-1)</f>
        <v>0.0934863848809298</v>
      </c>
    </row>
    <row r="32" customFormat="false" ht="14.25" hidden="false" customHeight="true" outlineLevel="0" collapsed="false">
      <c r="A32" s="24" t="s">
        <v>22</v>
      </c>
      <c r="B32" s="26" t="n">
        <v>1.12</v>
      </c>
    </row>
    <row r="33" customFormat="false" ht="14.25" hidden="false" customHeight="true" outlineLevel="0" collapsed="false">
      <c r="A33" s="24" t="s">
        <v>23</v>
      </c>
      <c r="B33" s="27" t="n">
        <f aca="false">B31/B32</f>
        <v>0.0834699865008301</v>
      </c>
    </row>
    <row r="34" customFormat="false" ht="14.25" hidden="false" customHeight="true" outlineLevel="0" collapsed="false">
      <c r="A34" s="24" t="s">
        <v>24</v>
      </c>
      <c r="B34" s="28" t="str">
        <f aca="false">IF(B33&lt;=0.1,"KONSISTEN ✓","TIDAK KONSISTEN ✗")</f>
        <v>KONSISTEN ✓</v>
      </c>
    </row>
  </sheetData>
  <mergeCells count="5">
    <mergeCell ref="E1:H1"/>
    <mergeCell ref="A2:C2"/>
    <mergeCell ref="A10:F10"/>
    <mergeCell ref="A19:H19"/>
    <mergeCell ref="A28:B28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0.85"/>
    <col collapsed="false" customWidth="true" hidden="false" outlineLevel="0" max="7" min="3" style="1" width="9.14"/>
    <col collapsed="false" customWidth="true" hidden="false" outlineLevel="0" max="8" min="8" style="1" width="14.42"/>
    <col collapsed="false" customWidth="true" hidden="false" outlineLevel="0" max="12" min="9" style="1" width="9.14"/>
  </cols>
  <sheetData>
    <row r="1" customFormat="false" ht="14.25" hidden="false" customHeight="true" outlineLevel="0" collapsed="false">
      <c r="F1" s="39" t="s">
        <v>38</v>
      </c>
      <c r="G1" s="39"/>
      <c r="H1" s="39"/>
    </row>
    <row r="2" customFormat="false" ht="14.25" hidden="false" customHeight="true" outlineLevel="0" collapsed="false">
      <c r="A2" s="9" t="s">
        <v>26</v>
      </c>
      <c r="B2" s="9"/>
      <c r="C2" s="9"/>
    </row>
    <row r="3" customFormat="false" ht="14.25" hidden="false" customHeight="true" outlineLevel="0" collapsed="false">
      <c r="A3" s="10" t="s">
        <v>2</v>
      </c>
      <c r="B3" s="30" t="s">
        <v>39</v>
      </c>
      <c r="C3" s="12"/>
    </row>
    <row r="4" customFormat="false" ht="14.25" hidden="false" customHeight="true" outlineLevel="0" collapsed="false">
      <c r="A4" s="10" t="s">
        <v>4</v>
      </c>
      <c r="B4" s="31" t="s">
        <v>40</v>
      </c>
      <c r="C4" s="12"/>
    </row>
    <row r="5" customFormat="false" ht="14.25" hidden="false" customHeight="true" outlineLevel="0" collapsed="false">
      <c r="A5" s="10" t="s">
        <v>6</v>
      </c>
      <c r="B5" s="32" t="s">
        <v>41</v>
      </c>
      <c r="C5" s="12"/>
    </row>
    <row r="6" customFormat="false" ht="14.25" hidden="false" customHeight="true" outlineLevel="0" collapsed="false">
      <c r="A6" s="10" t="s">
        <v>8</v>
      </c>
      <c r="B6" s="33" t="s">
        <v>42</v>
      </c>
      <c r="C6" s="12"/>
    </row>
    <row r="7" customFormat="false" ht="14.25" hidden="false" customHeight="true" outlineLevel="0" collapsed="false">
      <c r="A7" s="10" t="s">
        <v>10</v>
      </c>
      <c r="B7" s="34" t="s">
        <v>43</v>
      </c>
      <c r="C7" s="12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>
      <c r="A10" s="9" t="s">
        <v>12</v>
      </c>
      <c r="B10" s="9"/>
      <c r="C10" s="9"/>
      <c r="D10" s="9"/>
      <c r="E10" s="9"/>
      <c r="F10" s="9"/>
      <c r="G10" s="13"/>
      <c r="H10" s="13"/>
      <c r="I10" s="13"/>
      <c r="J10" s="13"/>
      <c r="K10" s="13"/>
    </row>
    <row r="11" customFormat="false" ht="14.25" hidden="false" customHeight="true" outlineLevel="0" collapsed="false">
      <c r="A11" s="14" t="s">
        <v>13</v>
      </c>
      <c r="B11" s="14" t="s">
        <v>2</v>
      </c>
      <c r="C11" s="14" t="s">
        <v>4</v>
      </c>
      <c r="D11" s="14" t="s">
        <v>6</v>
      </c>
      <c r="E11" s="14" t="s">
        <v>8</v>
      </c>
      <c r="F11" s="14" t="s">
        <v>10</v>
      </c>
    </row>
    <row r="12" customFormat="false" ht="14.25" hidden="false" customHeight="true" outlineLevel="0" collapsed="false">
      <c r="A12" s="10" t="s">
        <v>2</v>
      </c>
      <c r="B12" s="10" t="n">
        <v>1</v>
      </c>
      <c r="C12" s="16" t="n">
        <v>3</v>
      </c>
      <c r="D12" s="16" t="n">
        <v>5</v>
      </c>
      <c r="E12" s="16" t="n">
        <v>7</v>
      </c>
      <c r="F12" s="16" t="n">
        <v>9</v>
      </c>
    </row>
    <row r="13" customFormat="false" ht="14.25" hidden="false" customHeight="true" outlineLevel="0" collapsed="false">
      <c r="A13" s="10" t="s">
        <v>4</v>
      </c>
      <c r="B13" s="17" t="n">
        <f aca="false">1/C12</f>
        <v>0.333333333333333</v>
      </c>
      <c r="C13" s="10" t="n">
        <v>1</v>
      </c>
      <c r="D13" s="16" t="n">
        <v>2</v>
      </c>
      <c r="E13" s="16" t="n">
        <v>5</v>
      </c>
      <c r="F13" s="16" t="n">
        <v>7</v>
      </c>
    </row>
    <row r="14" customFormat="false" ht="14.25" hidden="false" customHeight="true" outlineLevel="0" collapsed="false">
      <c r="A14" s="10" t="s">
        <v>6</v>
      </c>
      <c r="B14" s="17" t="n">
        <f aca="false">1/D12</f>
        <v>0.2</v>
      </c>
      <c r="C14" s="17" t="n">
        <f aca="false">1/D13</f>
        <v>0.5</v>
      </c>
      <c r="D14" s="10" t="n">
        <v>1</v>
      </c>
      <c r="E14" s="16" t="n">
        <v>3</v>
      </c>
      <c r="F14" s="16" t="n">
        <v>5</v>
      </c>
    </row>
    <row r="15" customFormat="false" ht="14.25" hidden="false" customHeight="true" outlineLevel="0" collapsed="false">
      <c r="A15" s="10" t="s">
        <v>8</v>
      </c>
      <c r="B15" s="17" t="n">
        <f aca="false">1/E12</f>
        <v>0.142857142857143</v>
      </c>
      <c r="C15" s="17" t="n">
        <f aca="false">1/E13</f>
        <v>0.2</v>
      </c>
      <c r="D15" s="17" t="n">
        <f aca="false">1/E14</f>
        <v>0.333333333333333</v>
      </c>
      <c r="E15" s="10" t="n">
        <v>1</v>
      </c>
      <c r="F15" s="16" t="n">
        <v>3</v>
      </c>
    </row>
    <row r="16" customFormat="false" ht="14.25" hidden="false" customHeight="true" outlineLevel="0" collapsed="false">
      <c r="A16" s="10" t="s">
        <v>10</v>
      </c>
      <c r="B16" s="17" t="n">
        <f aca="false">1/F12</f>
        <v>0.111111111111111</v>
      </c>
      <c r="C16" s="17" t="n">
        <f aca="false">1/F13</f>
        <v>0.142857142857143</v>
      </c>
      <c r="D16" s="17" t="n">
        <f aca="false">1/F14</f>
        <v>0.2</v>
      </c>
      <c r="E16" s="17" t="n">
        <f aca="false">1/F15</f>
        <v>0.333333333333333</v>
      </c>
      <c r="F16" s="10" t="n">
        <v>1</v>
      </c>
    </row>
    <row r="17" customFormat="false" ht="14.25" hidden="false" customHeight="true" outlineLevel="0" collapsed="false">
      <c r="A17" s="18" t="s">
        <v>14</v>
      </c>
      <c r="B17" s="19" t="n">
        <f aca="false">SUM(B12:B16)</f>
        <v>1.78730158730159</v>
      </c>
      <c r="C17" s="19" t="n">
        <f aca="false">SUM(C12:C16)</f>
        <v>4.84285714285714</v>
      </c>
      <c r="D17" s="19" t="n">
        <f aca="false">SUM(D12:D16)</f>
        <v>8.53333333333333</v>
      </c>
      <c r="E17" s="19" t="n">
        <f aca="false">SUM(E12:E16)</f>
        <v>16.3333333333333</v>
      </c>
      <c r="F17" s="19" t="n">
        <f aca="false">SUM(F12:F16)</f>
        <v>25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9" t="s">
        <v>15</v>
      </c>
      <c r="B19" s="9"/>
      <c r="C19" s="9"/>
      <c r="D19" s="9"/>
      <c r="E19" s="9"/>
      <c r="F19" s="9"/>
      <c r="G19" s="9"/>
      <c r="H19" s="9"/>
      <c r="I19" s="13"/>
      <c r="J19" s="13"/>
      <c r="K19" s="13"/>
    </row>
    <row r="20" customFormat="false" ht="14.25" hidden="false" customHeight="true" outlineLevel="0" collapsed="false">
      <c r="A20" s="14" t="s">
        <v>13</v>
      </c>
      <c r="B20" s="14" t="s">
        <v>2</v>
      </c>
      <c r="C20" s="14" t="s">
        <v>4</v>
      </c>
      <c r="D20" s="14" t="s">
        <v>6</v>
      </c>
      <c r="E20" s="14" t="s">
        <v>8</v>
      </c>
      <c r="F20" s="14" t="s">
        <v>10</v>
      </c>
      <c r="G20" s="14" t="s">
        <v>16</v>
      </c>
      <c r="H20" s="14" t="s">
        <v>17</v>
      </c>
    </row>
    <row r="21" customFormat="false" ht="14.25" hidden="false" customHeight="true" outlineLevel="0" collapsed="false">
      <c r="A21" s="10" t="s">
        <v>2</v>
      </c>
      <c r="B21" s="20" t="n">
        <f aca="false">B12/B17</f>
        <v>0.559502664298401</v>
      </c>
      <c r="C21" s="20" t="n">
        <f aca="false">C12/C17</f>
        <v>0.619469026548673</v>
      </c>
      <c r="D21" s="20" t="n">
        <f aca="false">D12/D17</f>
        <v>0.5859375</v>
      </c>
      <c r="E21" s="20" t="n">
        <f aca="false">E12/E17</f>
        <v>0.428571428571429</v>
      </c>
      <c r="F21" s="20" t="n">
        <f aca="false">F12/F17</f>
        <v>0.36</v>
      </c>
      <c r="G21" s="21" t="n">
        <f aca="false">SUM(B21:F21)</f>
        <v>2.5534806194185</v>
      </c>
      <c r="H21" s="22" t="n">
        <f aca="false">G21/5</f>
        <v>0.5106961238837</v>
      </c>
    </row>
    <row r="22" customFormat="false" ht="14.25" hidden="false" customHeight="true" outlineLevel="0" collapsed="false">
      <c r="A22" s="10" t="s">
        <v>4</v>
      </c>
      <c r="B22" s="20" t="n">
        <f aca="false">B13/B17</f>
        <v>0.186500888099467</v>
      </c>
      <c r="C22" s="20" t="n">
        <f aca="false">C13/C17</f>
        <v>0.206489675516224</v>
      </c>
      <c r="D22" s="20" t="n">
        <f aca="false">D13/D17</f>
        <v>0.234375</v>
      </c>
      <c r="E22" s="20" t="n">
        <f aca="false">E13/E17</f>
        <v>0.306122448979592</v>
      </c>
      <c r="F22" s="20" t="n">
        <f aca="false">F13/F17</f>
        <v>0.28</v>
      </c>
      <c r="G22" s="21" t="n">
        <f aca="false">SUM(B22:F22)</f>
        <v>1.21348801259528</v>
      </c>
      <c r="H22" s="22" t="n">
        <f aca="false">G22/5</f>
        <v>0.242697602519057</v>
      </c>
    </row>
    <row r="23" customFormat="false" ht="14.25" hidden="false" customHeight="true" outlineLevel="0" collapsed="false">
      <c r="A23" s="10" t="s">
        <v>6</v>
      </c>
      <c r="B23" s="20" t="n">
        <f aca="false">B14/B17</f>
        <v>0.11190053285968</v>
      </c>
      <c r="C23" s="20" t="n">
        <f aca="false">C14/C17</f>
        <v>0.103244837758112</v>
      </c>
      <c r="D23" s="20" t="n">
        <f aca="false">D14/D17</f>
        <v>0.1171875</v>
      </c>
      <c r="E23" s="20" t="n">
        <f aca="false">E14/E17</f>
        <v>0.183673469387755</v>
      </c>
      <c r="F23" s="20" t="n">
        <f aca="false">F14/F17</f>
        <v>0.2</v>
      </c>
      <c r="G23" s="21" t="n">
        <f aca="false">SUM(B23:F23)</f>
        <v>0.716006340005547</v>
      </c>
      <c r="H23" s="22" t="n">
        <f aca="false">G23/5</f>
        <v>0.14320126800111</v>
      </c>
    </row>
    <row r="24" customFormat="false" ht="14.25" hidden="false" customHeight="true" outlineLevel="0" collapsed="false">
      <c r="A24" s="10" t="s">
        <v>8</v>
      </c>
      <c r="B24" s="20" t="n">
        <f aca="false">B15/B17</f>
        <v>0.0799289520426288</v>
      </c>
      <c r="C24" s="20" t="n">
        <f aca="false">C15/C17</f>
        <v>0.0412979351032448</v>
      </c>
      <c r="D24" s="20" t="n">
        <f aca="false">D15/D17</f>
        <v>0.0390625</v>
      </c>
      <c r="E24" s="20" t="n">
        <f aca="false">E15/E17</f>
        <v>0.0612244897959184</v>
      </c>
      <c r="F24" s="20" t="n">
        <f aca="false">F15/F17</f>
        <v>0.12</v>
      </c>
      <c r="G24" s="21" t="n">
        <f aca="false">SUM(B24:F24)</f>
        <v>0.341513876941792</v>
      </c>
      <c r="H24" s="22" t="n">
        <f aca="false">G24/5</f>
        <v>0.0683027753883584</v>
      </c>
    </row>
    <row r="25" customFormat="false" ht="14.25" hidden="false" customHeight="true" outlineLevel="0" collapsed="false">
      <c r="A25" s="10" t="s">
        <v>10</v>
      </c>
      <c r="B25" s="20" t="n">
        <f aca="false">B16/B17</f>
        <v>0.0621669626998224</v>
      </c>
      <c r="C25" s="20" t="n">
        <f aca="false">C16/C17</f>
        <v>0.0294985250737463</v>
      </c>
      <c r="D25" s="20" t="n">
        <f aca="false">D16/D17</f>
        <v>0.0234375</v>
      </c>
      <c r="E25" s="20" t="n">
        <f aca="false">E16/E17</f>
        <v>0.0204081632653061</v>
      </c>
      <c r="F25" s="20" t="n">
        <f aca="false">F16/F17</f>
        <v>0.04</v>
      </c>
      <c r="G25" s="21" t="n">
        <f aca="false">SUM(B25:F25)</f>
        <v>0.175511151038875</v>
      </c>
      <c r="H25" s="22" t="n">
        <f aca="false">G25/5</f>
        <v>0.035102230207775</v>
      </c>
    </row>
    <row r="26" customFormat="false" ht="14.25" hidden="false" customHeight="true" outlineLevel="0" collapsed="false">
      <c r="A26" s="18" t="s">
        <v>14</v>
      </c>
      <c r="B26" s="23" t="n">
        <f aca="false">SUM(B21:B25)</f>
        <v>1</v>
      </c>
      <c r="C26" s="23" t="n">
        <f aca="false">SUM(C21:C25)</f>
        <v>1</v>
      </c>
      <c r="D26" s="23" t="n">
        <f aca="false">SUM(D21:D25)</f>
        <v>1</v>
      </c>
      <c r="E26" s="23" t="n">
        <f aca="false">SUM(E21:E25)</f>
        <v>1</v>
      </c>
      <c r="F26" s="23" t="n">
        <f aca="false">SUM(F21:F25)</f>
        <v>1</v>
      </c>
      <c r="G26" s="23" t="n">
        <f aca="false">SUM(G21:G25)</f>
        <v>5</v>
      </c>
      <c r="H26" s="23" t="n">
        <f aca="false">SUM(H21:H25)</f>
        <v>1</v>
      </c>
    </row>
    <row r="27" customFormat="false" ht="14.25" hidden="false" customHeight="true" outlineLevel="0" collapsed="false"/>
    <row r="28" customFormat="false" ht="14.25" hidden="false" customHeight="true" outlineLevel="0" collapsed="false">
      <c r="A28" s="9" t="s">
        <v>18</v>
      </c>
      <c r="B28" s="9"/>
      <c r="C28" s="13"/>
      <c r="D28" s="13"/>
    </row>
    <row r="29" customFormat="false" ht="14.25" hidden="false" customHeight="true" outlineLevel="0" collapsed="false">
      <c r="A29" s="24" t="s">
        <v>19</v>
      </c>
      <c r="B29" s="20" t="n">
        <f aca="false">(B17*H21)+(C17*H22)+(D17*H23)+(E17*H24)+(F17*H25)</f>
        <v>5.30326971757352</v>
      </c>
    </row>
    <row r="30" customFormat="false" ht="14.25" hidden="false" customHeight="true" outlineLevel="0" collapsed="false">
      <c r="A30" s="24" t="s">
        <v>20</v>
      </c>
      <c r="B30" s="25" t="n">
        <v>5</v>
      </c>
    </row>
    <row r="31" customFormat="false" ht="14.25" hidden="false" customHeight="true" outlineLevel="0" collapsed="false">
      <c r="A31" s="24" t="s">
        <v>21</v>
      </c>
      <c r="B31" s="20" t="n">
        <f aca="false">(B29-B30)/(B30-1)</f>
        <v>0.0758174293933798</v>
      </c>
    </row>
    <row r="32" customFormat="false" ht="14.25" hidden="false" customHeight="true" outlineLevel="0" collapsed="false">
      <c r="A32" s="24" t="s">
        <v>22</v>
      </c>
      <c r="B32" s="26" t="n">
        <v>1.12</v>
      </c>
    </row>
    <row r="33" customFormat="false" ht="14.25" hidden="false" customHeight="true" outlineLevel="0" collapsed="false">
      <c r="A33" s="24" t="s">
        <v>23</v>
      </c>
      <c r="B33" s="27" t="n">
        <f aca="false">B31/B32</f>
        <v>0.0676941333869462</v>
      </c>
    </row>
    <row r="34" customFormat="false" ht="14.25" hidden="false" customHeight="true" outlineLevel="0" collapsed="false">
      <c r="A34" s="24" t="s">
        <v>24</v>
      </c>
      <c r="B34" s="28" t="str">
        <f aca="false">IF(B33&lt;=0.1,"KONSISTEN ✓","TIDAK KONSISTEN ✗")</f>
        <v>KONSISTEN ✓</v>
      </c>
    </row>
  </sheetData>
  <mergeCells count="5">
    <mergeCell ref="F1:H1"/>
    <mergeCell ref="A2:C2"/>
    <mergeCell ref="A10:F10"/>
    <mergeCell ref="A19:H19"/>
    <mergeCell ref="A28:B28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17.15"/>
    <col collapsed="false" customWidth="true" hidden="false" outlineLevel="0" max="8" min="8" style="1" width="15.28"/>
  </cols>
  <sheetData>
    <row r="1" customFormat="false" ht="14.25" hidden="false" customHeight="true" outlineLevel="0" collapsed="false">
      <c r="E1" s="40" t="s">
        <v>44</v>
      </c>
      <c r="F1" s="40"/>
      <c r="G1" s="40"/>
      <c r="H1" s="40"/>
    </row>
    <row r="2" customFormat="false" ht="14.25" hidden="false" customHeight="true" outlineLevel="0" collapsed="false">
      <c r="A2" s="9" t="s">
        <v>26</v>
      </c>
      <c r="B2" s="9"/>
      <c r="C2" s="9"/>
    </row>
    <row r="3" customFormat="false" ht="14.25" hidden="false" customHeight="true" outlineLevel="0" collapsed="false">
      <c r="A3" s="10" t="s">
        <v>2</v>
      </c>
      <c r="B3" s="30" t="s">
        <v>45</v>
      </c>
      <c r="C3" s="12"/>
    </row>
    <row r="4" customFormat="false" ht="14.25" hidden="false" customHeight="true" outlineLevel="0" collapsed="false">
      <c r="A4" s="10" t="s">
        <v>4</v>
      </c>
      <c r="B4" s="31" t="s">
        <v>46</v>
      </c>
      <c r="C4" s="12"/>
    </row>
    <row r="5" customFormat="false" ht="14.25" hidden="false" customHeight="true" outlineLevel="0" collapsed="false">
      <c r="A5" s="10" t="s">
        <v>6</v>
      </c>
      <c r="B5" s="32" t="s">
        <v>47</v>
      </c>
      <c r="C5" s="12"/>
    </row>
    <row r="6" customFormat="false" ht="14.25" hidden="false" customHeight="true" outlineLevel="0" collapsed="false">
      <c r="A6" s="10" t="s">
        <v>8</v>
      </c>
      <c r="B6" s="33" t="s">
        <v>48</v>
      </c>
      <c r="C6" s="12"/>
    </row>
    <row r="7" customFormat="false" ht="14.25" hidden="false" customHeight="true" outlineLevel="0" collapsed="false">
      <c r="A7" s="10" t="s">
        <v>10</v>
      </c>
      <c r="B7" s="34" t="s">
        <v>49</v>
      </c>
      <c r="C7" s="12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>
      <c r="A10" s="9" t="s">
        <v>12</v>
      </c>
      <c r="B10" s="9"/>
      <c r="C10" s="9"/>
      <c r="D10" s="9"/>
      <c r="E10" s="9"/>
      <c r="F10" s="9"/>
      <c r="G10" s="13"/>
      <c r="H10" s="13"/>
      <c r="I10" s="13"/>
      <c r="J10" s="13"/>
      <c r="K10" s="13"/>
    </row>
    <row r="11" customFormat="false" ht="14.25" hidden="false" customHeight="true" outlineLevel="0" collapsed="false">
      <c r="A11" s="14" t="s">
        <v>13</v>
      </c>
      <c r="B11" s="14" t="s">
        <v>2</v>
      </c>
      <c r="C11" s="14" t="s">
        <v>4</v>
      </c>
      <c r="D11" s="14" t="s">
        <v>6</v>
      </c>
      <c r="E11" s="14" t="s">
        <v>8</v>
      </c>
      <c r="F11" s="14" t="s">
        <v>10</v>
      </c>
    </row>
    <row r="12" customFormat="false" ht="14.25" hidden="false" customHeight="true" outlineLevel="0" collapsed="false">
      <c r="A12" s="10" t="s">
        <v>2</v>
      </c>
      <c r="B12" s="10" t="n">
        <v>1</v>
      </c>
      <c r="C12" s="16" t="n">
        <v>3</v>
      </c>
      <c r="D12" s="16" t="n">
        <v>5</v>
      </c>
      <c r="E12" s="16" t="n">
        <v>7</v>
      </c>
      <c r="F12" s="16" t="n">
        <v>9</v>
      </c>
    </row>
    <row r="13" customFormat="false" ht="14.25" hidden="false" customHeight="true" outlineLevel="0" collapsed="false">
      <c r="A13" s="10" t="s">
        <v>4</v>
      </c>
      <c r="B13" s="17" t="n">
        <f aca="false">1/C12</f>
        <v>0.333333333333333</v>
      </c>
      <c r="C13" s="10" t="n">
        <v>1</v>
      </c>
      <c r="D13" s="16" t="n">
        <v>2</v>
      </c>
      <c r="E13" s="16" t="n">
        <v>4</v>
      </c>
      <c r="F13" s="16" t="n">
        <v>7</v>
      </c>
    </row>
    <row r="14" customFormat="false" ht="14.25" hidden="false" customHeight="true" outlineLevel="0" collapsed="false">
      <c r="A14" s="10" t="s">
        <v>6</v>
      </c>
      <c r="B14" s="17" t="n">
        <f aca="false">1/D12</f>
        <v>0.2</v>
      </c>
      <c r="C14" s="17" t="n">
        <f aca="false">1/D13</f>
        <v>0.5</v>
      </c>
      <c r="D14" s="10" t="n">
        <v>1</v>
      </c>
      <c r="E14" s="16" t="n">
        <v>3</v>
      </c>
      <c r="F14" s="16" t="n">
        <v>5</v>
      </c>
    </row>
    <row r="15" customFormat="false" ht="14.25" hidden="false" customHeight="true" outlineLevel="0" collapsed="false">
      <c r="A15" s="10" t="s">
        <v>8</v>
      </c>
      <c r="B15" s="17" t="n">
        <f aca="false">1/E12</f>
        <v>0.142857142857143</v>
      </c>
      <c r="C15" s="17" t="n">
        <f aca="false">1/E13</f>
        <v>0.25</v>
      </c>
      <c r="D15" s="17" t="n">
        <f aca="false">1/E14</f>
        <v>0.333333333333333</v>
      </c>
      <c r="E15" s="10" t="n">
        <v>1</v>
      </c>
      <c r="F15" s="16" t="n">
        <v>3</v>
      </c>
    </row>
    <row r="16" customFormat="false" ht="14.25" hidden="false" customHeight="true" outlineLevel="0" collapsed="false">
      <c r="A16" s="10" t="s">
        <v>10</v>
      </c>
      <c r="B16" s="17" t="n">
        <f aca="false">1/F12</f>
        <v>0.111111111111111</v>
      </c>
      <c r="C16" s="17" t="n">
        <f aca="false">1/F13</f>
        <v>0.142857142857143</v>
      </c>
      <c r="D16" s="17" t="n">
        <f aca="false">1/F14</f>
        <v>0.2</v>
      </c>
      <c r="E16" s="17" t="n">
        <f aca="false">1/F15</f>
        <v>0.333333333333333</v>
      </c>
      <c r="F16" s="10" t="n">
        <v>1</v>
      </c>
    </row>
    <row r="17" customFormat="false" ht="14.25" hidden="false" customHeight="true" outlineLevel="0" collapsed="false">
      <c r="A17" s="18" t="s">
        <v>14</v>
      </c>
      <c r="B17" s="19" t="n">
        <f aca="false">SUM(B12:B16)</f>
        <v>1.78730158730159</v>
      </c>
      <c r="C17" s="19" t="n">
        <f aca="false">SUM(C12:C16)</f>
        <v>4.89285714285714</v>
      </c>
      <c r="D17" s="19" t="n">
        <f aca="false">SUM(D12:D16)</f>
        <v>8.53333333333333</v>
      </c>
      <c r="E17" s="19" t="n">
        <f aca="false">SUM(E12:E16)</f>
        <v>15.3333333333333</v>
      </c>
      <c r="F17" s="19" t="n">
        <f aca="false">SUM(F12:F16)</f>
        <v>25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9" t="s">
        <v>15</v>
      </c>
      <c r="B19" s="9"/>
      <c r="C19" s="9"/>
      <c r="D19" s="9"/>
      <c r="E19" s="9"/>
      <c r="F19" s="9"/>
      <c r="G19" s="9"/>
      <c r="H19" s="9"/>
      <c r="I19" s="13"/>
      <c r="J19" s="13"/>
      <c r="K19" s="13"/>
    </row>
    <row r="20" customFormat="false" ht="14.25" hidden="false" customHeight="true" outlineLevel="0" collapsed="false">
      <c r="A20" s="14" t="s">
        <v>13</v>
      </c>
      <c r="B20" s="14" t="s">
        <v>2</v>
      </c>
      <c r="C20" s="14" t="s">
        <v>4</v>
      </c>
      <c r="D20" s="14" t="s">
        <v>6</v>
      </c>
      <c r="E20" s="14" t="s">
        <v>8</v>
      </c>
      <c r="F20" s="14" t="s">
        <v>10</v>
      </c>
      <c r="G20" s="14" t="s">
        <v>16</v>
      </c>
      <c r="H20" s="14" t="s">
        <v>17</v>
      </c>
    </row>
    <row r="21" customFormat="false" ht="14.25" hidden="false" customHeight="true" outlineLevel="0" collapsed="false">
      <c r="A21" s="10" t="s">
        <v>2</v>
      </c>
      <c r="B21" s="20" t="n">
        <f aca="false">B12/B17</f>
        <v>0.559502664298401</v>
      </c>
      <c r="C21" s="20" t="n">
        <f aca="false">C12/C17</f>
        <v>0.613138686131387</v>
      </c>
      <c r="D21" s="20" t="n">
        <f aca="false">D12/D17</f>
        <v>0.5859375</v>
      </c>
      <c r="E21" s="20" t="n">
        <f aca="false">E12/E17</f>
        <v>0.456521739130435</v>
      </c>
      <c r="F21" s="20" t="n">
        <f aca="false">F12/F17</f>
        <v>0.36</v>
      </c>
      <c r="G21" s="21" t="n">
        <f aca="false">SUM(B21:F21)</f>
        <v>2.57510058956022</v>
      </c>
      <c r="H21" s="22" t="n">
        <f aca="false">G21/5</f>
        <v>0.515020117912045</v>
      </c>
    </row>
    <row r="22" customFormat="false" ht="14.25" hidden="false" customHeight="true" outlineLevel="0" collapsed="false">
      <c r="A22" s="10" t="s">
        <v>4</v>
      </c>
      <c r="B22" s="20" t="n">
        <f aca="false">B13/B17</f>
        <v>0.186500888099467</v>
      </c>
      <c r="C22" s="20" t="n">
        <f aca="false">C13/C17</f>
        <v>0.204379562043796</v>
      </c>
      <c r="D22" s="20" t="n">
        <f aca="false">D13/D17</f>
        <v>0.234375</v>
      </c>
      <c r="E22" s="20" t="n">
        <f aca="false">E13/E17</f>
        <v>0.260869565217391</v>
      </c>
      <c r="F22" s="20" t="n">
        <f aca="false">F13/F17</f>
        <v>0.28</v>
      </c>
      <c r="G22" s="21" t="n">
        <f aca="false">SUM(B22:F22)</f>
        <v>1.16612501536065</v>
      </c>
      <c r="H22" s="22" t="n">
        <f aca="false">G22/5</f>
        <v>0.233225003072131</v>
      </c>
    </row>
    <row r="23" customFormat="false" ht="14.25" hidden="false" customHeight="true" outlineLevel="0" collapsed="false">
      <c r="A23" s="10" t="s">
        <v>6</v>
      </c>
      <c r="B23" s="20" t="n">
        <f aca="false">B14/B17</f>
        <v>0.11190053285968</v>
      </c>
      <c r="C23" s="20" t="n">
        <f aca="false">C14/C17</f>
        <v>0.102189781021898</v>
      </c>
      <c r="D23" s="20" t="n">
        <f aca="false">D14/D17</f>
        <v>0.1171875</v>
      </c>
      <c r="E23" s="20" t="n">
        <f aca="false">E14/E17</f>
        <v>0.195652173913043</v>
      </c>
      <c r="F23" s="20" t="n">
        <f aca="false">F14/F17</f>
        <v>0.2</v>
      </c>
      <c r="G23" s="21" t="n">
        <f aca="false">SUM(B23:F23)</f>
        <v>0.726929987794622</v>
      </c>
      <c r="H23" s="22" t="n">
        <f aca="false">G23/5</f>
        <v>0.145385997558924</v>
      </c>
    </row>
    <row r="24" customFormat="false" ht="14.25" hidden="false" customHeight="true" outlineLevel="0" collapsed="false">
      <c r="A24" s="10" t="s">
        <v>8</v>
      </c>
      <c r="B24" s="20" t="n">
        <f aca="false">B15/B17</f>
        <v>0.0799289520426288</v>
      </c>
      <c r="C24" s="20" t="n">
        <f aca="false">C15/C17</f>
        <v>0.0510948905109489</v>
      </c>
      <c r="D24" s="20" t="n">
        <f aca="false">D15/D17</f>
        <v>0.0390625</v>
      </c>
      <c r="E24" s="20" t="n">
        <f aca="false">E15/E17</f>
        <v>0.0652173913043478</v>
      </c>
      <c r="F24" s="20" t="n">
        <f aca="false">F15/F17</f>
        <v>0.12</v>
      </c>
      <c r="G24" s="21" t="n">
        <f aca="false">SUM(B24:F24)</f>
        <v>0.355303733857925</v>
      </c>
      <c r="H24" s="22" t="n">
        <f aca="false">G24/5</f>
        <v>0.0710607467715851</v>
      </c>
    </row>
    <row r="25" customFormat="false" ht="14.25" hidden="false" customHeight="true" outlineLevel="0" collapsed="false">
      <c r="A25" s="10" t="s">
        <v>10</v>
      </c>
      <c r="B25" s="20" t="n">
        <f aca="false">B16/B17</f>
        <v>0.0621669626998224</v>
      </c>
      <c r="C25" s="20" t="n">
        <f aca="false">C16/C17</f>
        <v>0.0291970802919708</v>
      </c>
      <c r="D25" s="20" t="n">
        <f aca="false">D16/D17</f>
        <v>0.0234375</v>
      </c>
      <c r="E25" s="20" t="n">
        <f aca="false">E16/E17</f>
        <v>0.0217391304347826</v>
      </c>
      <c r="F25" s="20" t="n">
        <f aca="false">F16/F17</f>
        <v>0.04</v>
      </c>
      <c r="G25" s="21" t="n">
        <f aca="false">SUM(B25:F25)</f>
        <v>0.176540673426576</v>
      </c>
      <c r="H25" s="22" t="n">
        <f aca="false">G25/5</f>
        <v>0.0353081346853152</v>
      </c>
    </row>
    <row r="26" customFormat="false" ht="14.25" hidden="false" customHeight="true" outlineLevel="0" collapsed="false">
      <c r="A26" s="18" t="s">
        <v>14</v>
      </c>
      <c r="B26" s="19" t="n">
        <f aca="false">SUM(B21:B25)</f>
        <v>1</v>
      </c>
      <c r="C26" s="19" t="n">
        <f aca="false">SUM(C21:C25)</f>
        <v>1</v>
      </c>
      <c r="D26" s="19" t="n">
        <f aca="false">SUM(D21:D25)</f>
        <v>1</v>
      </c>
      <c r="E26" s="19" t="n">
        <f aca="false">SUM(E21:E25)</f>
        <v>1</v>
      </c>
      <c r="F26" s="19" t="n">
        <f aca="false">SUM(F21:F25)</f>
        <v>1</v>
      </c>
      <c r="G26" s="19" t="n">
        <f aca="false">SUM(G21:G25)</f>
        <v>5</v>
      </c>
      <c r="H26" s="19" t="n">
        <f aca="false">SUM(H21:H25)</f>
        <v>1</v>
      </c>
    </row>
    <row r="27" customFormat="false" ht="14.25" hidden="false" customHeight="true" outlineLevel="0" collapsed="false"/>
    <row r="28" customFormat="false" ht="14.25" hidden="false" customHeight="true" outlineLevel="0" collapsed="false">
      <c r="A28" s="9" t="s">
        <v>18</v>
      </c>
      <c r="B28" s="9"/>
      <c r="C28" s="13"/>
      <c r="D28" s="13"/>
    </row>
    <row r="29" customFormat="false" ht="14.25" hidden="false" customHeight="true" outlineLevel="0" collapsed="false">
      <c r="A29" s="24" t="s">
        <v>19</v>
      </c>
      <c r="B29" s="20" t="n">
        <f aca="false">(B17*H21)+(C17*H22)+(D17*H23)+(E17*H24)+(F17*H25)</f>
        <v>5.27456155987747</v>
      </c>
    </row>
    <row r="30" customFormat="false" ht="14.25" hidden="false" customHeight="true" outlineLevel="0" collapsed="false">
      <c r="A30" s="24" t="s">
        <v>20</v>
      </c>
      <c r="B30" s="25" t="n">
        <v>5</v>
      </c>
    </row>
    <row r="31" customFormat="false" ht="14.25" hidden="false" customHeight="true" outlineLevel="0" collapsed="false">
      <c r="A31" s="24" t="s">
        <v>21</v>
      </c>
      <c r="B31" s="20" t="n">
        <f aca="false">(B29-B30)/(B30-1)</f>
        <v>0.0686403899693684</v>
      </c>
    </row>
    <row r="32" customFormat="false" ht="14.25" hidden="false" customHeight="true" outlineLevel="0" collapsed="false">
      <c r="A32" s="24" t="s">
        <v>22</v>
      </c>
      <c r="B32" s="26" t="n">
        <v>1.12</v>
      </c>
    </row>
    <row r="33" customFormat="false" ht="14.25" hidden="false" customHeight="true" outlineLevel="0" collapsed="false">
      <c r="A33" s="24" t="s">
        <v>23</v>
      </c>
      <c r="B33" s="27" t="n">
        <f aca="false">B31/B32</f>
        <v>0.0612860624726503</v>
      </c>
    </row>
    <row r="34" customFormat="false" ht="14.25" hidden="false" customHeight="true" outlineLevel="0" collapsed="false">
      <c r="A34" s="24" t="s">
        <v>24</v>
      </c>
      <c r="B34" s="28" t="str">
        <f aca="false">IF(B33&lt;=0.1,"KONSISTEN ✓","TIDAK KONSISTEN ✗")</f>
        <v>KONSISTEN ✓</v>
      </c>
    </row>
  </sheetData>
  <mergeCells count="5">
    <mergeCell ref="E1:H1"/>
    <mergeCell ref="A2:C2"/>
    <mergeCell ref="A10:F10"/>
    <mergeCell ref="A19:H19"/>
    <mergeCell ref="A28:B28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9.42"/>
    <col collapsed="false" customWidth="true" hidden="false" outlineLevel="0" max="7" min="3" style="1" width="9.14"/>
    <col collapsed="false" customWidth="true" hidden="false" outlineLevel="0" max="8" min="8" style="1" width="17.57"/>
    <col collapsed="false" customWidth="true" hidden="false" outlineLevel="0" max="11" min="9" style="1" width="9.14"/>
  </cols>
  <sheetData>
    <row r="1" customFormat="false" ht="14.25" hidden="false" customHeight="true" outlineLevel="0" collapsed="false">
      <c r="A1" s="1" t="s">
        <v>50</v>
      </c>
      <c r="G1" s="41" t="s">
        <v>51</v>
      </c>
      <c r="H1" s="41"/>
      <c r="I1" s="41"/>
      <c r="J1" s="41"/>
    </row>
    <row r="2" customFormat="false" ht="14.25" hidden="false" customHeight="true" outlineLevel="0" collapsed="false">
      <c r="A2" s="9" t="s">
        <v>26</v>
      </c>
      <c r="B2" s="9"/>
      <c r="C2" s="9"/>
    </row>
    <row r="3" customFormat="false" ht="14.25" hidden="false" customHeight="true" outlineLevel="0" collapsed="false">
      <c r="A3" s="10" t="s">
        <v>2</v>
      </c>
      <c r="B3" s="30" t="s">
        <v>52</v>
      </c>
      <c r="C3" s="12"/>
    </row>
    <row r="4" customFormat="false" ht="14.25" hidden="false" customHeight="true" outlineLevel="0" collapsed="false">
      <c r="A4" s="10" t="s">
        <v>4</v>
      </c>
      <c r="B4" s="31" t="s">
        <v>53</v>
      </c>
      <c r="C4" s="12"/>
    </row>
    <row r="5" customFormat="false" ht="14.25" hidden="false" customHeight="true" outlineLevel="0" collapsed="false">
      <c r="A5" s="10" t="s">
        <v>6</v>
      </c>
      <c r="B5" s="32" t="s">
        <v>54</v>
      </c>
      <c r="C5" s="12"/>
    </row>
    <row r="6" customFormat="false" ht="14.25" hidden="false" customHeight="true" outlineLevel="0" collapsed="false">
      <c r="A6" s="10" t="s">
        <v>8</v>
      </c>
      <c r="B6" s="33" t="s">
        <v>55</v>
      </c>
      <c r="C6" s="12"/>
    </row>
    <row r="7" customFormat="false" ht="14.25" hidden="false" customHeight="true" outlineLevel="0" collapsed="false">
      <c r="A7" s="10" t="s">
        <v>10</v>
      </c>
      <c r="B7" s="34" t="s">
        <v>56</v>
      </c>
      <c r="C7" s="12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>
      <c r="A10" s="9" t="s">
        <v>12</v>
      </c>
      <c r="B10" s="9"/>
      <c r="C10" s="9"/>
      <c r="D10" s="9"/>
      <c r="E10" s="9"/>
      <c r="F10" s="9"/>
      <c r="G10" s="13"/>
      <c r="H10" s="13"/>
      <c r="I10" s="13"/>
      <c r="J10" s="13"/>
      <c r="K10" s="13"/>
    </row>
    <row r="11" customFormat="false" ht="14.25" hidden="false" customHeight="true" outlineLevel="0" collapsed="false">
      <c r="A11" s="14" t="s">
        <v>13</v>
      </c>
      <c r="B11" s="14" t="s">
        <v>2</v>
      </c>
      <c r="C11" s="14" t="s">
        <v>4</v>
      </c>
      <c r="D11" s="14" t="s">
        <v>6</v>
      </c>
      <c r="E11" s="14" t="s">
        <v>8</v>
      </c>
      <c r="F11" s="14" t="s">
        <v>10</v>
      </c>
    </row>
    <row r="12" customFormat="false" ht="14.25" hidden="false" customHeight="true" outlineLevel="0" collapsed="false">
      <c r="A12" s="10" t="s">
        <v>2</v>
      </c>
      <c r="B12" s="10" t="n">
        <v>1</v>
      </c>
      <c r="C12" s="16" t="n">
        <v>3</v>
      </c>
      <c r="D12" s="16" t="n">
        <v>5</v>
      </c>
      <c r="E12" s="16" t="n">
        <v>7</v>
      </c>
      <c r="F12" s="16" t="n">
        <v>9</v>
      </c>
    </row>
    <row r="13" customFormat="false" ht="14.25" hidden="false" customHeight="true" outlineLevel="0" collapsed="false">
      <c r="A13" s="10" t="s">
        <v>4</v>
      </c>
      <c r="B13" s="17" t="n">
        <f aca="false">1/C12</f>
        <v>0.333333333333333</v>
      </c>
      <c r="C13" s="10" t="n">
        <v>1</v>
      </c>
      <c r="D13" s="16" t="n">
        <v>3</v>
      </c>
      <c r="E13" s="16" t="n">
        <v>5</v>
      </c>
      <c r="F13" s="16" t="n">
        <v>7</v>
      </c>
    </row>
    <row r="14" customFormat="false" ht="14.25" hidden="false" customHeight="true" outlineLevel="0" collapsed="false">
      <c r="A14" s="10" t="s">
        <v>6</v>
      </c>
      <c r="B14" s="17" t="n">
        <f aca="false">1/D12</f>
        <v>0.2</v>
      </c>
      <c r="C14" s="17" t="n">
        <f aca="false">1/D13</f>
        <v>0.333333333333333</v>
      </c>
      <c r="D14" s="10" t="n">
        <v>1</v>
      </c>
      <c r="E14" s="16" t="n">
        <v>1</v>
      </c>
      <c r="F14" s="16" t="n">
        <v>5</v>
      </c>
    </row>
    <row r="15" customFormat="false" ht="14.25" hidden="false" customHeight="true" outlineLevel="0" collapsed="false">
      <c r="A15" s="10" t="s">
        <v>8</v>
      </c>
      <c r="B15" s="17" t="n">
        <f aca="false">1/E12</f>
        <v>0.142857142857143</v>
      </c>
      <c r="C15" s="17" t="n">
        <f aca="false">1/E13</f>
        <v>0.2</v>
      </c>
      <c r="D15" s="17" t="n">
        <f aca="false">1/E14</f>
        <v>1</v>
      </c>
      <c r="E15" s="10" t="n">
        <v>1</v>
      </c>
      <c r="F15" s="16" t="n">
        <v>3</v>
      </c>
    </row>
    <row r="16" customFormat="false" ht="14.25" hidden="false" customHeight="true" outlineLevel="0" collapsed="false">
      <c r="A16" s="10" t="s">
        <v>10</v>
      </c>
      <c r="B16" s="17" t="n">
        <f aca="false">1/F12</f>
        <v>0.111111111111111</v>
      </c>
      <c r="C16" s="17" t="n">
        <f aca="false">1/F13</f>
        <v>0.142857142857143</v>
      </c>
      <c r="D16" s="17" t="n">
        <f aca="false">1/F14</f>
        <v>0.2</v>
      </c>
      <c r="E16" s="17" t="n">
        <f aca="false">1/F15</f>
        <v>0.333333333333333</v>
      </c>
      <c r="F16" s="10" t="n">
        <v>1</v>
      </c>
    </row>
    <row r="17" customFormat="false" ht="14.25" hidden="false" customHeight="true" outlineLevel="0" collapsed="false">
      <c r="A17" s="18" t="s">
        <v>14</v>
      </c>
      <c r="B17" s="19" t="n">
        <f aca="false">SUM(B12:B16)</f>
        <v>1.78730158730159</v>
      </c>
      <c r="C17" s="19" t="n">
        <f aca="false">SUM(C12:C16)</f>
        <v>4.67619047619048</v>
      </c>
      <c r="D17" s="19" t="n">
        <f aca="false">SUM(D12:D16)</f>
        <v>10.2</v>
      </c>
      <c r="E17" s="19" t="n">
        <f aca="false">SUM(E12:E16)</f>
        <v>14.3333333333333</v>
      </c>
      <c r="F17" s="19" t="n">
        <f aca="false">SUM(F12:F16)</f>
        <v>25</v>
      </c>
    </row>
    <row r="18" customFormat="false" ht="14.25" hidden="false" customHeight="true" outlineLevel="0" collapsed="false"/>
    <row r="19" customFormat="false" ht="14.25" hidden="false" customHeight="true" outlineLevel="0" collapsed="false">
      <c r="A19" s="9" t="s">
        <v>15</v>
      </c>
      <c r="B19" s="9"/>
      <c r="C19" s="9"/>
      <c r="D19" s="9"/>
      <c r="E19" s="9"/>
      <c r="F19" s="9"/>
      <c r="G19" s="9"/>
      <c r="H19" s="9"/>
      <c r="I19" s="13"/>
      <c r="J19" s="13"/>
      <c r="K19" s="13"/>
    </row>
    <row r="20" customFormat="false" ht="14.25" hidden="false" customHeight="true" outlineLevel="0" collapsed="false">
      <c r="A20" s="14" t="s">
        <v>13</v>
      </c>
      <c r="B20" s="14" t="s">
        <v>2</v>
      </c>
      <c r="C20" s="14" t="s">
        <v>4</v>
      </c>
      <c r="D20" s="14" t="s">
        <v>6</v>
      </c>
      <c r="E20" s="14" t="s">
        <v>8</v>
      </c>
      <c r="F20" s="14" t="s">
        <v>10</v>
      </c>
      <c r="G20" s="14" t="s">
        <v>16</v>
      </c>
      <c r="H20" s="14" t="s">
        <v>17</v>
      </c>
    </row>
    <row r="21" customFormat="false" ht="14.25" hidden="false" customHeight="true" outlineLevel="0" collapsed="false">
      <c r="A21" s="10" t="s">
        <v>2</v>
      </c>
      <c r="B21" s="20" t="n">
        <f aca="false">B12/B17</f>
        <v>0.559502664298401</v>
      </c>
      <c r="C21" s="20" t="n">
        <f aca="false">C12/C17</f>
        <v>0.641547861507128</v>
      </c>
      <c r="D21" s="20" t="n">
        <f aca="false">D12/D17</f>
        <v>0.490196078431373</v>
      </c>
      <c r="E21" s="20" t="n">
        <f aca="false">E12/E17</f>
        <v>0.488372093023256</v>
      </c>
      <c r="F21" s="20" t="n">
        <f aca="false">F12/F17</f>
        <v>0.36</v>
      </c>
      <c r="G21" s="21" t="n">
        <f aca="false">SUM(B21:F21)</f>
        <v>2.53961869726016</v>
      </c>
      <c r="H21" s="22" t="n">
        <f aca="false">G21/5</f>
        <v>0.507923739452032</v>
      </c>
    </row>
    <row r="22" customFormat="false" ht="14.25" hidden="false" customHeight="true" outlineLevel="0" collapsed="false">
      <c r="A22" s="10" t="s">
        <v>4</v>
      </c>
      <c r="B22" s="20" t="n">
        <f aca="false">B13/B17</f>
        <v>0.186500888099467</v>
      </c>
      <c r="C22" s="20" t="n">
        <f aca="false">C13/C17</f>
        <v>0.213849287169043</v>
      </c>
      <c r="D22" s="20" t="n">
        <f aca="false">D13/D17</f>
        <v>0.294117647058824</v>
      </c>
      <c r="E22" s="20" t="n">
        <f aca="false">E13/E17</f>
        <v>0.348837209302326</v>
      </c>
      <c r="F22" s="20" t="n">
        <f aca="false">F13/F17</f>
        <v>0.28</v>
      </c>
      <c r="G22" s="21" t="n">
        <f aca="false">SUM(B22:F22)</f>
        <v>1.32330503162966</v>
      </c>
      <c r="H22" s="22" t="n">
        <f aca="false">G22/5</f>
        <v>0.264661006325932</v>
      </c>
    </row>
    <row r="23" customFormat="false" ht="14.25" hidden="false" customHeight="true" outlineLevel="0" collapsed="false">
      <c r="A23" s="10" t="s">
        <v>6</v>
      </c>
      <c r="B23" s="20" t="n">
        <f aca="false">B14/B17</f>
        <v>0.11190053285968</v>
      </c>
      <c r="C23" s="20" t="n">
        <f aca="false">C14/C17</f>
        <v>0.0712830957230143</v>
      </c>
      <c r="D23" s="20" t="n">
        <f aca="false">D14/D17</f>
        <v>0.0980392156862745</v>
      </c>
      <c r="E23" s="20" t="n">
        <f aca="false">E14/E17</f>
        <v>0.0697674418604651</v>
      </c>
      <c r="F23" s="20" t="n">
        <f aca="false">F14/F17</f>
        <v>0.2</v>
      </c>
      <c r="G23" s="21" t="n">
        <f aca="false">SUM(B23:F23)</f>
        <v>0.550990286129434</v>
      </c>
      <c r="H23" s="22" t="n">
        <f aca="false">G23/5</f>
        <v>0.110198057225887</v>
      </c>
    </row>
    <row r="24" customFormat="false" ht="14.25" hidden="false" customHeight="true" outlineLevel="0" collapsed="false">
      <c r="A24" s="10" t="s">
        <v>8</v>
      </c>
      <c r="B24" s="20" t="n">
        <f aca="false">B15/B17</f>
        <v>0.0799289520426288</v>
      </c>
      <c r="C24" s="20" t="n">
        <f aca="false">C15/C17</f>
        <v>0.0427698574338086</v>
      </c>
      <c r="D24" s="20" t="n">
        <f aca="false">D15/D17</f>
        <v>0.0980392156862745</v>
      </c>
      <c r="E24" s="20" t="n">
        <f aca="false">E15/E17</f>
        <v>0.0697674418604651</v>
      </c>
      <c r="F24" s="20" t="n">
        <f aca="false">F15/F17</f>
        <v>0.12</v>
      </c>
      <c r="G24" s="21" t="n">
        <f aca="false">SUM(B24:F24)</f>
        <v>0.410505467023177</v>
      </c>
      <c r="H24" s="22" t="n">
        <f aca="false">G24/5</f>
        <v>0.0821010934046354</v>
      </c>
    </row>
    <row r="25" customFormat="false" ht="14.25" hidden="false" customHeight="true" outlineLevel="0" collapsed="false">
      <c r="A25" s="10" t="s">
        <v>10</v>
      </c>
      <c r="B25" s="20" t="n">
        <f aca="false">B16/B17</f>
        <v>0.0621669626998224</v>
      </c>
      <c r="C25" s="20" t="n">
        <f aca="false">C16/C17</f>
        <v>0.0305498981670061</v>
      </c>
      <c r="D25" s="20" t="n">
        <f aca="false">D16/D17</f>
        <v>0.0196078431372549</v>
      </c>
      <c r="E25" s="20" t="n">
        <f aca="false">E16/E17</f>
        <v>0.0232558139534884</v>
      </c>
      <c r="F25" s="20" t="n">
        <f aca="false">F16/F17</f>
        <v>0.04</v>
      </c>
      <c r="G25" s="21" t="n">
        <f aca="false">SUM(B25:F25)</f>
        <v>0.175580517957572</v>
      </c>
      <c r="H25" s="22" t="n">
        <f aca="false">G25/5</f>
        <v>0.0351161035915144</v>
      </c>
    </row>
    <row r="26" customFormat="false" ht="14.25" hidden="false" customHeight="true" outlineLevel="0" collapsed="false">
      <c r="A26" s="18" t="s">
        <v>14</v>
      </c>
      <c r="B26" s="23" t="n">
        <f aca="false">SUM(B21:B25)</f>
        <v>1</v>
      </c>
      <c r="C26" s="23" t="n">
        <f aca="false">SUM(C21:C25)</f>
        <v>1</v>
      </c>
      <c r="D26" s="23" t="n">
        <f aca="false">SUM(D21:D25)</f>
        <v>1</v>
      </c>
      <c r="E26" s="23" t="n">
        <f aca="false">SUM(E21:E25)</f>
        <v>1</v>
      </c>
      <c r="F26" s="23" t="n">
        <f aca="false">SUM(F21:F25)</f>
        <v>1</v>
      </c>
      <c r="G26" s="23" t="n">
        <f aca="false">SUM(G21:G25)</f>
        <v>5</v>
      </c>
      <c r="H26" s="23" t="n">
        <f aca="false">SUM(H21:H25)</f>
        <v>1</v>
      </c>
    </row>
    <row r="27" customFormat="false" ht="14.25" hidden="false" customHeight="true" outlineLevel="0" collapsed="false"/>
    <row r="28" customFormat="false" ht="14.25" hidden="false" customHeight="true" outlineLevel="0" collapsed="false">
      <c r="A28" s="9" t="s">
        <v>18</v>
      </c>
      <c r="B28" s="9"/>
      <c r="C28" s="13"/>
      <c r="D28" s="13"/>
    </row>
    <row r="29" customFormat="false" ht="14.25" hidden="false" customHeight="true" outlineLevel="0" collapsed="false">
      <c r="A29" s="24" t="s">
        <v>19</v>
      </c>
      <c r="B29" s="20" t="n">
        <f aca="false">(B17*H21)+(C17*H22)+(D17*H23)+(E17*H24)+(F17*H25)</f>
        <v>5.32412329524276</v>
      </c>
    </row>
    <row r="30" customFormat="false" ht="14.25" hidden="false" customHeight="true" outlineLevel="0" collapsed="false">
      <c r="A30" s="24" t="s">
        <v>20</v>
      </c>
      <c r="B30" s="25" t="n">
        <v>5</v>
      </c>
    </row>
    <row r="31" customFormat="false" ht="14.25" hidden="false" customHeight="true" outlineLevel="0" collapsed="false">
      <c r="A31" s="24" t="s">
        <v>21</v>
      </c>
      <c r="B31" s="20" t="n">
        <f aca="false">(B29-B30)/(B30-1)</f>
        <v>0.0810308238106907</v>
      </c>
    </row>
    <row r="32" customFormat="false" ht="14.25" hidden="false" customHeight="true" outlineLevel="0" collapsed="false">
      <c r="A32" s="24" t="s">
        <v>22</v>
      </c>
      <c r="B32" s="26" t="n">
        <v>1.12</v>
      </c>
    </row>
    <row r="33" customFormat="false" ht="14.25" hidden="false" customHeight="true" outlineLevel="0" collapsed="false">
      <c r="A33" s="24" t="s">
        <v>23</v>
      </c>
      <c r="B33" s="27" t="n">
        <f aca="false">B31/B32</f>
        <v>0.0723489498309738</v>
      </c>
    </row>
    <row r="34" customFormat="false" ht="14.25" hidden="false" customHeight="true" outlineLevel="0" collapsed="false">
      <c r="A34" s="24" t="s">
        <v>24</v>
      </c>
      <c r="B34" s="28" t="str">
        <f aca="false">IF(B33&lt;=0.1,"KONSISTEN ✓","TIDAK KONSISTEN ✗")</f>
        <v>KONSISTEN ✓</v>
      </c>
    </row>
  </sheetData>
  <mergeCells count="5">
    <mergeCell ref="G1:J1"/>
    <mergeCell ref="A2:C2"/>
    <mergeCell ref="A10:F10"/>
    <mergeCell ref="A19:H19"/>
    <mergeCell ref="A28:B28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3" min="3" style="1" width="23.71"/>
    <col collapsed="false" customWidth="true" hidden="false" outlineLevel="0" max="4" min="4" style="1" width="17.28"/>
    <col collapsed="false" customWidth="true" hidden="false" outlineLevel="0" max="5" min="5" style="1" width="20.85"/>
    <col collapsed="false" customWidth="true" hidden="false" outlineLevel="0" max="6" min="6" style="1" width="14"/>
    <col collapsed="false" customWidth="true" hidden="false" outlineLevel="0" max="7" min="7" style="1" width="18.14"/>
    <col collapsed="false" customWidth="true" hidden="false" outlineLevel="0" max="8" min="8" style="1" width="16"/>
  </cols>
  <sheetData>
    <row r="1" customFormat="false" ht="15.75" hidden="false" customHeight="true" outlineLevel="0" collapsed="false">
      <c r="A1" s="42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35"/>
      <c r="O1" s="35"/>
      <c r="P1" s="35"/>
      <c r="Q1" s="35"/>
      <c r="R1" s="35"/>
      <c r="S1" s="35"/>
    </row>
    <row r="2" customFormat="false" ht="21.75" hidden="false" customHeight="true" outlineLevel="0" collapsed="false">
      <c r="A2" s="44" t="s">
        <v>58</v>
      </c>
      <c r="B2" s="44" t="s">
        <v>59</v>
      </c>
      <c r="C2" s="44" t="s">
        <v>60</v>
      </c>
      <c r="D2" s="44" t="s">
        <v>61</v>
      </c>
      <c r="E2" s="44" t="s">
        <v>62</v>
      </c>
      <c r="F2" s="44" t="s">
        <v>63</v>
      </c>
      <c r="G2" s="44" t="s">
        <v>64</v>
      </c>
      <c r="H2" s="44" t="s">
        <v>65</v>
      </c>
      <c r="I2" s="44" t="s">
        <v>66</v>
      </c>
      <c r="J2" s="44" t="s">
        <v>67</v>
      </c>
      <c r="K2" s="44" t="s">
        <v>68</v>
      </c>
      <c r="L2" s="44" t="s">
        <v>69</v>
      </c>
      <c r="M2" s="44" t="s">
        <v>70</v>
      </c>
      <c r="N2" s="35"/>
      <c r="O2" s="45"/>
      <c r="P2" s="35"/>
      <c r="Q2" s="35"/>
      <c r="R2" s="11"/>
      <c r="S2" s="35"/>
    </row>
    <row r="3" customFormat="false" ht="21.75" hidden="false" customHeight="true" outlineLevel="0" collapsed="false">
      <c r="A3" s="46" t="n">
        <v>1</v>
      </c>
      <c r="B3" s="46" t="s">
        <v>71</v>
      </c>
      <c r="C3" s="47" t="s">
        <v>72</v>
      </c>
      <c r="D3" s="48" t="s">
        <v>27</v>
      </c>
      <c r="E3" s="48" t="s">
        <v>33</v>
      </c>
      <c r="F3" s="48" t="s">
        <v>73</v>
      </c>
      <c r="G3" s="48" t="s">
        <v>74</v>
      </c>
      <c r="H3" s="48" t="s">
        <v>52</v>
      </c>
      <c r="I3" s="49" t="n">
        <v>0.5117</v>
      </c>
      <c r="J3" s="49" t="n">
        <v>0.5028</v>
      </c>
      <c r="K3" s="49" t="n">
        <v>0.0351</v>
      </c>
      <c r="L3" s="49" t="n">
        <v>0.515</v>
      </c>
      <c r="M3" s="49" t="n">
        <v>0.5079</v>
      </c>
      <c r="N3" s="35"/>
      <c r="O3" s="45"/>
      <c r="P3" s="35"/>
      <c r="Q3" s="35"/>
      <c r="R3" s="11"/>
      <c r="S3" s="35"/>
    </row>
    <row r="4" customFormat="false" ht="21.75" hidden="false" customHeight="true" outlineLevel="0" collapsed="false">
      <c r="A4" s="50" t="n">
        <v>2</v>
      </c>
      <c r="B4" s="50" t="s">
        <v>75</v>
      </c>
      <c r="C4" s="51" t="s">
        <v>76</v>
      </c>
      <c r="D4" s="52" t="s">
        <v>28</v>
      </c>
      <c r="E4" s="52" t="s">
        <v>34</v>
      </c>
      <c r="F4" s="52" t="s">
        <v>77</v>
      </c>
      <c r="G4" s="52" t="s">
        <v>46</v>
      </c>
      <c r="H4" s="52" t="s">
        <v>54</v>
      </c>
      <c r="I4" s="49" t="n">
        <v>0.2588</v>
      </c>
      <c r="J4" s="49" t="n">
        <v>0.2602</v>
      </c>
      <c r="K4" s="49" t="n">
        <v>0.2427</v>
      </c>
      <c r="L4" s="49" t="n">
        <v>0.2332</v>
      </c>
      <c r="M4" s="49" t="n">
        <v>0.1102</v>
      </c>
      <c r="N4" s="35"/>
      <c r="O4" s="45"/>
      <c r="P4" s="35"/>
      <c r="Q4" s="35"/>
      <c r="R4" s="11"/>
      <c r="S4" s="35"/>
    </row>
    <row r="5" customFormat="false" ht="21.75" hidden="false" customHeight="true" outlineLevel="0" collapsed="false">
      <c r="A5" s="46" t="n">
        <v>3</v>
      </c>
      <c r="B5" s="46" t="s">
        <v>78</v>
      </c>
      <c r="C5" s="47" t="s">
        <v>79</v>
      </c>
      <c r="D5" s="48" t="s">
        <v>30</v>
      </c>
      <c r="E5" s="48" t="s">
        <v>36</v>
      </c>
      <c r="F5" s="48" t="s">
        <v>80</v>
      </c>
      <c r="G5" s="48" t="s">
        <v>48</v>
      </c>
      <c r="H5" s="48" t="s">
        <v>55</v>
      </c>
      <c r="I5" s="49" t="n">
        <v>0.0739</v>
      </c>
      <c r="J5" s="49" t="n">
        <v>0.0678</v>
      </c>
      <c r="K5" s="49" t="n">
        <v>0.5107</v>
      </c>
      <c r="L5" s="49" t="n">
        <v>0.0711</v>
      </c>
      <c r="M5" s="49" t="n">
        <v>0.0821</v>
      </c>
      <c r="N5" s="35"/>
      <c r="O5" s="45"/>
      <c r="P5" s="35"/>
      <c r="Q5" s="35"/>
      <c r="R5" s="11"/>
      <c r="S5" s="35"/>
    </row>
    <row r="6" customFormat="false" ht="21.75" hidden="false" customHeight="true" outlineLevel="0" collapsed="false">
      <c r="A6" s="50" t="n">
        <v>4</v>
      </c>
      <c r="B6" s="50" t="s">
        <v>81</v>
      </c>
      <c r="C6" s="51" t="s">
        <v>82</v>
      </c>
      <c r="D6" s="52" t="s">
        <v>29</v>
      </c>
      <c r="E6" s="52" t="s">
        <v>35</v>
      </c>
      <c r="F6" s="52" t="s">
        <v>83</v>
      </c>
      <c r="G6" s="52" t="s">
        <v>47</v>
      </c>
      <c r="H6" s="52" t="s">
        <v>53</v>
      </c>
      <c r="I6" s="49" t="n">
        <v>0.1179</v>
      </c>
      <c r="J6" s="49" t="n">
        <v>0.1344</v>
      </c>
      <c r="K6" s="49" t="n">
        <v>0.1432</v>
      </c>
      <c r="L6" s="49" t="n">
        <v>0.1454</v>
      </c>
      <c r="M6" s="49" t="n">
        <v>0.2647</v>
      </c>
      <c r="N6" s="35"/>
      <c r="O6" s="45"/>
      <c r="P6" s="35"/>
      <c r="Q6" s="35"/>
      <c r="R6" s="11"/>
      <c r="S6" s="35"/>
    </row>
    <row r="7" customFormat="false" ht="21.75" hidden="false" customHeight="true" outlineLevel="0" collapsed="false">
      <c r="A7" s="46" t="n">
        <v>5</v>
      </c>
      <c r="B7" s="46" t="s">
        <v>84</v>
      </c>
      <c r="C7" s="47" t="s">
        <v>85</v>
      </c>
      <c r="D7" s="48" t="s">
        <v>27</v>
      </c>
      <c r="E7" s="48" t="s">
        <v>33</v>
      </c>
      <c r="F7" s="48" t="s">
        <v>86</v>
      </c>
      <c r="G7" s="48" t="s">
        <v>46</v>
      </c>
      <c r="H7" s="48" t="s">
        <v>54</v>
      </c>
      <c r="I7" s="49" t="n">
        <v>0.5117</v>
      </c>
      <c r="J7" s="49" t="n">
        <v>0.5028</v>
      </c>
      <c r="K7" s="49" t="n">
        <v>0.0351</v>
      </c>
      <c r="L7" s="49" t="n">
        <v>0.2332</v>
      </c>
      <c r="M7" s="49" t="n">
        <v>0.1102</v>
      </c>
      <c r="N7" s="35"/>
      <c r="O7" s="35"/>
      <c r="P7" s="35"/>
      <c r="Q7" s="35"/>
      <c r="R7" s="35"/>
      <c r="S7" s="35"/>
    </row>
    <row r="8" customFormat="false" ht="21.75" hidden="false" customHeight="true" outlineLevel="0" collapsed="false">
      <c r="A8" s="50" t="n">
        <v>6</v>
      </c>
      <c r="B8" s="50" t="s">
        <v>87</v>
      </c>
      <c r="C8" s="51" t="s">
        <v>88</v>
      </c>
      <c r="D8" s="52" t="s">
        <v>89</v>
      </c>
      <c r="E8" s="52" t="s">
        <v>36</v>
      </c>
      <c r="F8" s="52" t="s">
        <v>90</v>
      </c>
      <c r="G8" s="52" t="s">
        <v>48</v>
      </c>
      <c r="H8" s="52" t="s">
        <v>55</v>
      </c>
      <c r="I8" s="49" t="n">
        <v>0.5117</v>
      </c>
      <c r="J8" s="49" t="n">
        <v>0.0678</v>
      </c>
      <c r="K8" s="49" t="n">
        <v>0.0683</v>
      </c>
      <c r="L8" s="49" t="n">
        <v>0.0711</v>
      </c>
      <c r="M8" s="49" t="n">
        <v>0.0821</v>
      </c>
    </row>
    <row r="9" customFormat="false" ht="21.75" hidden="false" customHeight="true" outlineLevel="0" collapsed="false">
      <c r="A9" s="46" t="n">
        <v>7</v>
      </c>
      <c r="B9" s="46" t="s">
        <v>91</v>
      </c>
      <c r="C9" s="47" t="s">
        <v>92</v>
      </c>
      <c r="D9" s="48" t="s">
        <v>27</v>
      </c>
      <c r="E9" s="48" t="s">
        <v>35</v>
      </c>
      <c r="F9" s="48" t="s">
        <v>93</v>
      </c>
      <c r="G9" s="48" t="s">
        <v>74</v>
      </c>
      <c r="H9" s="48" t="s">
        <v>54</v>
      </c>
      <c r="I9" s="49" t="n">
        <v>0.5117</v>
      </c>
      <c r="J9" s="49" t="n">
        <v>0.1344</v>
      </c>
      <c r="K9" s="49" t="n">
        <v>0.0683</v>
      </c>
      <c r="L9" s="49" t="n">
        <v>0.515</v>
      </c>
      <c r="M9" s="49" t="n">
        <v>0.1102</v>
      </c>
    </row>
    <row r="10" customFormat="false" ht="21.75" hidden="false" customHeight="true" outlineLevel="0" collapsed="false">
      <c r="A10" s="50" t="n">
        <v>8</v>
      </c>
      <c r="B10" s="50" t="s">
        <v>94</v>
      </c>
      <c r="C10" s="51" t="s">
        <v>95</v>
      </c>
      <c r="D10" s="52" t="s">
        <v>29</v>
      </c>
      <c r="E10" s="52" t="s">
        <v>33</v>
      </c>
      <c r="F10" s="52" t="s">
        <v>96</v>
      </c>
      <c r="G10" s="52" t="s">
        <v>46</v>
      </c>
      <c r="H10" s="52" t="s">
        <v>56</v>
      </c>
      <c r="I10" s="49" t="n">
        <v>0.1179</v>
      </c>
      <c r="J10" s="49" t="n">
        <v>0.5028</v>
      </c>
      <c r="K10" s="49" t="n">
        <v>0.0351</v>
      </c>
      <c r="L10" s="49" t="n">
        <v>0.2332</v>
      </c>
      <c r="M10" s="49" t="n">
        <v>0.0351</v>
      </c>
    </row>
    <row r="11" customFormat="false" ht="21.75" hidden="false" customHeight="true" outlineLevel="0" collapsed="false">
      <c r="A11" s="46" t="n">
        <v>9</v>
      </c>
      <c r="B11" s="46" t="s">
        <v>97</v>
      </c>
      <c r="C11" s="47" t="s">
        <v>98</v>
      </c>
      <c r="D11" s="48" t="s">
        <v>29</v>
      </c>
      <c r="E11" s="48" t="s">
        <v>36</v>
      </c>
      <c r="F11" s="48" t="s">
        <v>99</v>
      </c>
      <c r="G11" s="48" t="s">
        <v>48</v>
      </c>
      <c r="H11" s="48" t="s">
        <v>55</v>
      </c>
      <c r="I11" s="49" t="n">
        <v>0.1179</v>
      </c>
      <c r="J11" s="49" t="n">
        <v>0.0678</v>
      </c>
      <c r="K11" s="49" t="n">
        <v>0.0683</v>
      </c>
      <c r="L11" s="49" t="n">
        <v>0.0711</v>
      </c>
      <c r="M11" s="49" t="n">
        <v>0.0821</v>
      </c>
    </row>
    <row r="12" customFormat="false" ht="21.75" hidden="false" customHeight="true" outlineLevel="0" collapsed="false">
      <c r="A12" s="50" t="n">
        <v>10</v>
      </c>
      <c r="B12" s="50" t="s">
        <v>100</v>
      </c>
      <c r="C12" s="51" t="s">
        <v>101</v>
      </c>
      <c r="D12" s="52" t="s">
        <v>29</v>
      </c>
      <c r="E12" s="52" t="s">
        <v>33</v>
      </c>
      <c r="F12" s="52" t="s">
        <v>102</v>
      </c>
      <c r="G12" s="52" t="s">
        <v>46</v>
      </c>
      <c r="H12" s="52" t="s">
        <v>54</v>
      </c>
      <c r="I12" s="49" t="n">
        <v>0.1179</v>
      </c>
      <c r="J12" s="49" t="n">
        <v>0.5028</v>
      </c>
      <c r="K12" s="49" t="n">
        <v>0.5107</v>
      </c>
      <c r="L12" s="49" t="n">
        <v>0.2332</v>
      </c>
      <c r="M12" s="49" t="n">
        <v>0.1102</v>
      </c>
    </row>
    <row r="13" customFormat="false" ht="21.75" hidden="false" customHeight="true" outlineLevel="0" collapsed="false">
      <c r="A13" s="46" t="n">
        <v>11</v>
      </c>
      <c r="B13" s="46" t="s">
        <v>103</v>
      </c>
      <c r="C13" s="47" t="s">
        <v>104</v>
      </c>
      <c r="D13" s="48" t="s">
        <v>29</v>
      </c>
      <c r="E13" s="48" t="s">
        <v>36</v>
      </c>
      <c r="F13" s="48" t="s">
        <v>90</v>
      </c>
      <c r="G13" s="48" t="s">
        <v>48</v>
      </c>
      <c r="H13" s="48" t="s">
        <v>56</v>
      </c>
      <c r="I13" s="49" t="n">
        <v>0.1179</v>
      </c>
      <c r="J13" s="49" t="n">
        <v>0.0678</v>
      </c>
      <c r="K13" s="49" t="n">
        <v>0.0683</v>
      </c>
      <c r="L13" s="49" t="n">
        <v>0.0711</v>
      </c>
      <c r="M13" s="49" t="n">
        <v>0.0351</v>
      </c>
    </row>
    <row r="14" customFormat="false" ht="21.75" hidden="false" customHeight="true" outlineLevel="0" collapsed="false">
      <c r="A14" s="50" t="n">
        <v>12</v>
      </c>
      <c r="B14" s="50" t="s">
        <v>105</v>
      </c>
      <c r="C14" s="51" t="s">
        <v>106</v>
      </c>
      <c r="D14" s="52" t="s">
        <v>30</v>
      </c>
      <c r="E14" s="52" t="s">
        <v>36</v>
      </c>
      <c r="F14" s="52" t="s">
        <v>107</v>
      </c>
      <c r="G14" s="52" t="s">
        <v>48</v>
      </c>
      <c r="H14" s="52" t="s">
        <v>55</v>
      </c>
      <c r="I14" s="49" t="n">
        <v>0.0739</v>
      </c>
      <c r="J14" s="49" t="n">
        <v>0.0678</v>
      </c>
      <c r="K14" s="49" t="n">
        <v>0.1432</v>
      </c>
      <c r="L14" s="49" t="n">
        <v>0.0711</v>
      </c>
      <c r="M14" s="49" t="n">
        <v>0.0821</v>
      </c>
    </row>
    <row r="15" customFormat="false" ht="21.75" hidden="false" customHeight="true" outlineLevel="0" collapsed="false">
      <c r="A15" s="46" t="n">
        <v>13</v>
      </c>
      <c r="B15" s="46" t="s">
        <v>108</v>
      </c>
      <c r="C15" s="47" t="s">
        <v>109</v>
      </c>
      <c r="D15" s="48" t="s">
        <v>29</v>
      </c>
      <c r="E15" s="48" t="s">
        <v>33</v>
      </c>
      <c r="F15" s="48" t="s">
        <v>96</v>
      </c>
      <c r="G15" s="48" t="s">
        <v>74</v>
      </c>
      <c r="H15" s="48" t="s">
        <v>54</v>
      </c>
      <c r="I15" s="49" t="n">
        <v>0.1179</v>
      </c>
      <c r="J15" s="49" t="n">
        <v>0.5028</v>
      </c>
      <c r="K15" s="49" t="n">
        <v>0.0351</v>
      </c>
      <c r="L15" s="49" t="n">
        <v>0.515</v>
      </c>
      <c r="M15" s="49" t="n">
        <v>0.1102</v>
      </c>
    </row>
    <row r="16" customFormat="false" ht="21.75" hidden="false" customHeight="true" outlineLevel="0" collapsed="false">
      <c r="A16" s="50" t="n">
        <v>14</v>
      </c>
      <c r="B16" s="50" t="s">
        <v>110</v>
      </c>
      <c r="C16" s="51" t="s">
        <v>111</v>
      </c>
      <c r="D16" s="52" t="s">
        <v>27</v>
      </c>
      <c r="E16" s="52" t="s">
        <v>33</v>
      </c>
      <c r="F16" s="52" t="s">
        <v>112</v>
      </c>
      <c r="G16" s="52" t="s">
        <v>74</v>
      </c>
      <c r="H16" s="52" t="s">
        <v>54</v>
      </c>
      <c r="I16" s="49" t="n">
        <v>0.5117</v>
      </c>
      <c r="J16" s="49" t="n">
        <v>0.5028</v>
      </c>
      <c r="K16" s="49" t="n">
        <v>0.5107</v>
      </c>
      <c r="L16" s="49" t="n">
        <v>0.515</v>
      </c>
      <c r="M16" s="49" t="n">
        <v>0.1102</v>
      </c>
    </row>
    <row r="17" customFormat="false" ht="21.75" hidden="false" customHeight="true" outlineLevel="0" collapsed="false">
      <c r="A17" s="46" t="n">
        <v>15</v>
      </c>
      <c r="B17" s="46" t="s">
        <v>113</v>
      </c>
      <c r="C17" s="47" t="s">
        <v>114</v>
      </c>
      <c r="D17" s="48" t="s">
        <v>29</v>
      </c>
      <c r="E17" s="48" t="s">
        <v>33</v>
      </c>
      <c r="F17" s="48" t="s">
        <v>107</v>
      </c>
      <c r="G17" s="48" t="s">
        <v>47</v>
      </c>
      <c r="H17" s="48" t="s">
        <v>55</v>
      </c>
      <c r="I17" s="49" t="n">
        <v>0.1179</v>
      </c>
      <c r="J17" s="49" t="n">
        <v>0.5028</v>
      </c>
      <c r="K17" s="49" t="n">
        <v>0.1432</v>
      </c>
      <c r="L17" s="49" t="n">
        <v>0.1454</v>
      </c>
      <c r="M17" s="49" t="n">
        <v>0.0821</v>
      </c>
    </row>
    <row r="18" customFormat="false" ht="21.75" hidden="false" customHeight="true" outlineLevel="0" collapsed="false">
      <c r="A18" s="50" t="n">
        <v>16</v>
      </c>
      <c r="B18" s="50" t="s">
        <v>115</v>
      </c>
      <c r="C18" s="51" t="s">
        <v>116</v>
      </c>
      <c r="D18" s="52" t="s">
        <v>29</v>
      </c>
      <c r="E18" s="52" t="s">
        <v>33</v>
      </c>
      <c r="F18" s="52" t="s">
        <v>77</v>
      </c>
      <c r="G18" s="52" t="s">
        <v>48</v>
      </c>
      <c r="H18" s="52" t="s">
        <v>54</v>
      </c>
      <c r="I18" s="49" t="n">
        <v>0.1179</v>
      </c>
      <c r="J18" s="49" t="n">
        <v>0.5028</v>
      </c>
      <c r="K18" s="49" t="n">
        <v>0.2427</v>
      </c>
      <c r="L18" s="49" t="n">
        <v>0.0711</v>
      </c>
      <c r="M18" s="49" t="n">
        <v>0.1102</v>
      </c>
    </row>
    <row r="19" customFormat="false" ht="14.25" hidden="false" customHeight="true" outlineLevel="0" collapsed="false">
      <c r="A19" s="45"/>
      <c r="B19" s="45"/>
      <c r="C19" s="11"/>
      <c r="D19" s="11"/>
      <c r="E19" s="11"/>
      <c r="F19" s="11"/>
      <c r="G19" s="11"/>
      <c r="H19" s="11"/>
      <c r="I19" s="53"/>
      <c r="J19" s="53"/>
      <c r="K19" s="53"/>
      <c r="L19" s="53"/>
      <c r="M19" s="54"/>
    </row>
    <row r="20" customFormat="false" ht="14.25" hidden="false" customHeight="true" outlineLevel="0" collapsed="false">
      <c r="A20" s="55"/>
      <c r="B20" s="55"/>
      <c r="C20" s="56"/>
      <c r="D20" s="56"/>
      <c r="E20" s="56"/>
      <c r="F20" s="56"/>
      <c r="G20" s="56"/>
      <c r="H20" s="56"/>
      <c r="I20" s="53"/>
      <c r="J20" s="53"/>
      <c r="K20" s="53"/>
      <c r="L20" s="53"/>
      <c r="M20" s="54"/>
    </row>
    <row r="21" customFormat="false" ht="14.25" hidden="false" customHeight="true" outlineLevel="0" collapsed="false">
      <c r="A21" s="45"/>
      <c r="B21" s="45"/>
      <c r="C21" s="11"/>
      <c r="D21" s="11"/>
      <c r="E21" s="11"/>
      <c r="F21" s="11"/>
      <c r="G21" s="11"/>
      <c r="H21" s="11"/>
      <c r="I21" s="57"/>
      <c r="J21" s="53"/>
      <c r="K21" s="53"/>
      <c r="L21" s="53"/>
      <c r="M21" s="54"/>
    </row>
  </sheetData>
  <mergeCells count="1">
    <mergeCell ref="A1:L1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24.28"/>
    <col collapsed="false" customWidth="true" hidden="false" outlineLevel="0" max="3" min="3" style="1" width="25.42"/>
    <col collapsed="false" customWidth="true" hidden="false" outlineLevel="0" max="4" min="4" style="1" width="23.86"/>
    <col collapsed="false" customWidth="true" hidden="false" outlineLevel="0" max="5" min="5" style="1" width="17.71"/>
    <col collapsed="false" customWidth="true" hidden="false" outlineLevel="0" max="7" min="6" style="1" width="17.86"/>
    <col collapsed="false" customWidth="true" hidden="false" outlineLevel="0" max="8" min="8" style="1" width="17.57"/>
    <col collapsed="false" customWidth="true" hidden="false" outlineLevel="0" max="9" min="9" style="1" width="18.14"/>
    <col collapsed="false" customWidth="true" hidden="false" outlineLevel="0" max="10" min="10" style="1" width="16"/>
    <col collapsed="false" customWidth="true" hidden="false" outlineLevel="0" max="11" min="11" style="1" width="15.85"/>
  </cols>
  <sheetData>
    <row r="1" customFormat="false" ht="15.75" hidden="false" customHeight="true" outlineLevel="0" collapsed="false">
      <c r="A1" s="2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4.25" hidden="false" customHeight="true" outlineLevel="0" collapsed="false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customFormat="false" ht="14.25" hidden="false" customHeight="true" outlineLevel="0" collapsed="false"/>
    <row r="4" customFormat="false" ht="14.25" hidden="false" customHeight="true" outlineLevel="0" collapsed="false">
      <c r="A4" s="59" t="s">
        <v>118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customFormat="false" ht="25.5" hidden="false" customHeight="true" outlineLevel="0" collapsed="false">
      <c r="A5" s="44" t="s">
        <v>58</v>
      </c>
      <c r="B5" s="44" t="s">
        <v>13</v>
      </c>
      <c r="C5" s="44" t="s">
        <v>119</v>
      </c>
      <c r="D5" s="44" t="s">
        <v>120</v>
      </c>
      <c r="E5" s="44" t="s">
        <v>121</v>
      </c>
      <c r="F5" s="15"/>
      <c r="H5" s="60"/>
    </row>
    <row r="6" customFormat="false" ht="14.25" hidden="false" customHeight="true" outlineLevel="0" collapsed="false">
      <c r="A6" s="10" t="n">
        <v>1</v>
      </c>
      <c r="B6" s="24" t="s">
        <v>122</v>
      </c>
      <c r="C6" s="61" t="s">
        <v>28</v>
      </c>
      <c r="D6" s="62" t="str">
        <f aca="false">IF(C6="Sutra","Kualitas premium, halus, mewah",IF(C6="Katun Primissima","Kualitas tinggi, nyaman",IF(C6="Katun Biasa","Kualitas standar",IF(C6="Rayon","Kualitas ekonomi",IF(C6="Polyester","Kualitas rendah","")))))</f>
        <v>Kualitas tinggi, nyaman</v>
      </c>
      <c r="E6" s="22" t="n">
        <v>0.2588</v>
      </c>
    </row>
    <row r="7" customFormat="false" ht="25.5" hidden="false" customHeight="true" outlineLevel="0" collapsed="false">
      <c r="A7" s="10" t="n">
        <v>2</v>
      </c>
      <c r="B7" s="24" t="s">
        <v>123</v>
      </c>
      <c r="C7" s="61" t="s">
        <v>35</v>
      </c>
      <c r="D7" s="62" t="str">
        <f aca="false">IF(C7="Tradisional Asli","Parang, Kawung, Mega Mendung",IF(C7="Tradisional Modern","Motif klasik sentuhan kekinian",IF(C7="Kombinasi","Perpaduan tradisional &amp; modern",IF(C7="Modern/Kontemporer","Motif kekinian",IF(C7="Polos/Minimalis","Hampir tidak bermotif","")))))</f>
        <v>Perpaduan tradisional &amp; modern</v>
      </c>
      <c r="E7" s="22" t="n">
        <v>0.1403</v>
      </c>
    </row>
    <row r="8" customFormat="false" ht="14.25" hidden="false" customHeight="true" outlineLevel="0" collapsed="false">
      <c r="A8" s="10" t="n">
        <v>3</v>
      </c>
      <c r="B8" s="24" t="s">
        <v>124</v>
      </c>
      <c r="C8" s="61" t="s">
        <v>39</v>
      </c>
      <c r="D8" s="62" t="str">
        <f aca="false">IF(C8="&lt; Rp 150.000","Sangat terjangkau",IF(C8="Rp 150.000-250.000","Terjangkau",IF(C8="Rp 250.000-400.000","Menengah",IF(C8="Rp 400.000-700.000","Mahal",IF(C8="&gt; Rp 700.000","Premium","")))))</f>
        <v>Sangat terjangkau</v>
      </c>
      <c r="E8" s="22" t="n">
        <v>0.5128</v>
      </c>
    </row>
    <row r="9" customFormat="false" ht="14.25" hidden="false" customHeight="true" outlineLevel="0" collapsed="false">
      <c r="A9" s="10" t="n">
        <v>4</v>
      </c>
      <c r="B9" s="24" t="s">
        <v>125</v>
      </c>
      <c r="C9" s="61" t="s">
        <v>47</v>
      </c>
      <c r="D9" s="62" t="str">
        <f aca="false">IF(C9="Alami/Natural","Pewarna alam, coklat, indigo",IF(C9="Netral Elegan","Hitam, putih, krem, abu",IF(C9="Cerah Seimbang","Kombinasi warna harmonis",IF(C9="Cerah Mencolok","Warna sangat terang",IF(C9="Tidak Harmonis","Kombinasi kurang sesuai","")))))</f>
        <v>Kombinasi warna harmonis</v>
      </c>
      <c r="E9" s="22" t="n">
        <v>0.1454</v>
      </c>
    </row>
    <row r="10" customFormat="false" ht="14.25" hidden="false" customHeight="true" outlineLevel="0" collapsed="false">
      <c r="A10" s="10" t="n">
        <v>5</v>
      </c>
      <c r="B10" s="24" t="s">
        <v>126</v>
      </c>
      <c r="C10" s="61" t="s">
        <v>55</v>
      </c>
      <c r="D10" s="62" t="str">
        <f aca="false">IF(C10="Multi-fungsi","Cocok formal, casual, seremonial",IF(C10="Dua Fungsi","Cocok 2 kesempatan",IF(C10="Formal","Cocok kerja/acara resmi",IF(C10="Casual","Cocok sehari-hari",IF(C10="Seremonial","Hanya acara adat","")))))</f>
        <v>Cocok sehari-hari</v>
      </c>
      <c r="E10" s="22" t="n">
        <v>0.1029</v>
      </c>
    </row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>
      <c r="A13" s="9" t="s">
        <v>127</v>
      </c>
      <c r="B13" s="9"/>
      <c r="C13" s="9"/>
      <c r="D13" s="9"/>
      <c r="E13" s="9"/>
      <c r="F13" s="9"/>
      <c r="G13" s="13"/>
      <c r="H13" s="13"/>
      <c r="I13" s="13"/>
      <c r="J13" s="13"/>
      <c r="K13" s="13"/>
      <c r="L13" s="13"/>
    </row>
    <row r="14" customFormat="false" ht="25.5" hidden="false" customHeight="true" outlineLevel="0" collapsed="false">
      <c r="A14" s="63" t="s">
        <v>128</v>
      </c>
      <c r="B14" s="63" t="s">
        <v>61</v>
      </c>
      <c r="C14" s="63" t="s">
        <v>62</v>
      </c>
      <c r="D14" s="63" t="s">
        <v>129</v>
      </c>
      <c r="E14" s="63" t="s">
        <v>64</v>
      </c>
      <c r="F14" s="18" t="s">
        <v>130</v>
      </c>
    </row>
    <row r="15" customFormat="false" ht="14.25" hidden="false" customHeight="true" outlineLevel="0" collapsed="false">
      <c r="A15" s="10" t="s">
        <v>131</v>
      </c>
      <c r="B15" s="49" t="n">
        <f aca="false">kriteria!H23</f>
        <v>0.416212445455305</v>
      </c>
      <c r="C15" s="49" t="n">
        <f aca="false">kriteria!H24</f>
        <v>0.261787988116735</v>
      </c>
      <c r="D15" s="49" t="n">
        <f aca="false">kriteria!H25</f>
        <v>0.161050406988503</v>
      </c>
      <c r="E15" s="49" t="n">
        <f aca="false">kriteria!H26</f>
        <v>0.0985727728869721</v>
      </c>
      <c r="F15" s="49" t="n">
        <f aca="false">kriteria!H27</f>
        <v>0.0623763865524846</v>
      </c>
    </row>
    <row r="16" customFormat="false" ht="21.75" hidden="false" customHeight="true" outlineLevel="0" collapsed="false">
      <c r="A16" s="64" t="s">
        <v>132</v>
      </c>
      <c r="B16" s="64"/>
      <c r="C16" s="64"/>
      <c r="D16" s="64"/>
      <c r="E16" s="64"/>
      <c r="F16" s="64"/>
      <c r="G16" s="65"/>
      <c r="H16" s="65"/>
      <c r="I16" s="65"/>
      <c r="J16" s="65"/>
      <c r="K16" s="65"/>
    </row>
    <row r="17" customFormat="false" ht="19.5" hidden="false" customHeight="true" outlineLevel="0" collapsed="false">
      <c r="A17" s="66" t="s">
        <v>133</v>
      </c>
      <c r="B17" s="49" t="n">
        <f aca="false">($B$15*(MAX('sub kriteria bahan'!H21:H25)-MIN('sub kriteria bahan'!H21:H25)))+($C$15*(MAX('sub kriteria motif'!H21:H25)-MIN('sub kriteria motif'!H21:H25)))+($D$15*(MAX('sub kriteria harga'!H21:H25)-MIN('sub kriteria harga'!H21:H25)))+($E$15*(MAX('sub kriteria warna'!H21:H25)-MIN('sub kriteria warna'!H21:H25)))+($F$15*(MAX('sub kriteria fungsi'!H21:H25)-MIN('sub kriteria fungsi'!H21:H25)))</f>
        <v>0.473171030048124</v>
      </c>
      <c r="C17" s="67" t="s">
        <v>134</v>
      </c>
      <c r="D17" s="67"/>
      <c r="E17" s="67"/>
      <c r="F17" s="67"/>
      <c r="G17" s="67"/>
      <c r="H17" s="67"/>
      <c r="I17" s="67"/>
      <c r="J17" s="67"/>
      <c r="K17" s="67"/>
    </row>
    <row r="18" customFormat="false" ht="14.25" hidden="false" customHeight="true" outlineLevel="0" collapsed="false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</row>
    <row r="19" customFormat="false" ht="14.25" hidden="false" customHeight="true" outlineLevel="0" collapsed="false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</row>
    <row r="20" customFormat="false" ht="22.5" hidden="false" customHeight="true" outlineLevel="0" collapsed="false">
      <c r="A20" s="69"/>
    </row>
    <row r="21" customFormat="false" ht="9" hidden="false" customHeight="true" outlineLevel="0" collapsed="false">
      <c r="A21" s="70" t="s">
        <v>135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</row>
    <row r="22" customFormat="false" ht="18.75" hidden="false" customHeight="true" outlineLevel="0" collapsed="false">
      <c r="A22" s="72" t="s">
        <v>58</v>
      </c>
      <c r="B22" s="72" t="s">
        <v>59</v>
      </c>
      <c r="C22" s="72" t="s">
        <v>60</v>
      </c>
      <c r="D22" s="72" t="s">
        <v>136</v>
      </c>
      <c r="E22" s="72" t="s">
        <v>137</v>
      </c>
      <c r="F22" s="72" t="s">
        <v>138</v>
      </c>
      <c r="G22" s="72" t="s">
        <v>139</v>
      </c>
      <c r="H22" s="72" t="s">
        <v>140</v>
      </c>
      <c r="I22" s="72" t="s">
        <v>141</v>
      </c>
      <c r="J22" s="72" t="s">
        <v>142</v>
      </c>
      <c r="K22" s="72" t="s">
        <v>143</v>
      </c>
      <c r="L22" s="15"/>
    </row>
    <row r="23" customFormat="false" ht="21.75" hidden="false" customHeight="true" outlineLevel="0" collapsed="false">
      <c r="A23" s="46" t="n">
        <v>1</v>
      </c>
      <c r="B23" s="46" t="str">
        <f aca="false">'data produk'!B3</f>
        <v>B001</v>
      </c>
      <c r="C23" s="47" t="str">
        <f aca="false">'data produk'!C3</f>
        <v>Batik Parang Sutra</v>
      </c>
      <c r="D23" s="73" t="n">
        <f aca="false">$B$15*ABS('data produk'!I3-$E$6)</f>
        <v>0.105260127455647</v>
      </c>
      <c r="E23" s="73" t="n">
        <f aca="false">$C$15*ABS('data produk'!J3-$E$7)</f>
        <v>0.0948981456923164</v>
      </c>
      <c r="F23" s="73" t="n">
        <f aca="false">$D$15*ABS('data produk'!K3-$E$8)</f>
        <v>0.0769337794184079</v>
      </c>
      <c r="G23" s="73" t="n">
        <f aca="false">$E$15*ABS('data produk'!L3-$E$9)</f>
        <v>0.0364324968590249</v>
      </c>
      <c r="H23" s="73" t="n">
        <f aca="false">$F$15*ABS('data produk'!M3-$E$10)</f>
        <v>0.0252624365537563</v>
      </c>
      <c r="I23" s="74" t="n">
        <f aca="false">SUM(D23:H23)</f>
        <v>0.338786985979152</v>
      </c>
      <c r="J23" s="75" t="n">
        <f aca="false">MAX(0,(1-I23/$B$17)*100)</f>
        <v>28.4007336745244</v>
      </c>
      <c r="K23" s="76" t="n">
        <f aca="false">RANK(I23,$I$23:$I$38,1)+COUNTIF($I$23:I23,I23)-1</f>
        <v>16</v>
      </c>
    </row>
    <row r="24" customFormat="false" ht="21.75" hidden="false" customHeight="true" outlineLevel="0" collapsed="false">
      <c r="A24" s="50" t="n">
        <v>2</v>
      </c>
      <c r="B24" s="50" t="str">
        <f aca="false">'data produk'!B4</f>
        <v>B002</v>
      </c>
      <c r="C24" s="51" t="str">
        <f aca="false">'data produk'!C4</f>
        <v>Batik Cap Katun</v>
      </c>
      <c r="D24" s="73" t="n">
        <f aca="false">$B$15*ABS('data produk'!I4-$E$6)</f>
        <v>0</v>
      </c>
      <c r="E24" s="73" t="n">
        <f aca="false">$C$15*ABS('data produk'!J4-$E$7)</f>
        <v>0.0313883797751965</v>
      </c>
      <c r="F24" s="73" t="n">
        <f aca="false">$D$15*ABS('data produk'!K4-$E$8)</f>
        <v>0.0434997149275947</v>
      </c>
      <c r="G24" s="73" t="n">
        <f aca="false">$E$15*ABS('data produk'!L4-$E$9)</f>
        <v>0.00865468945947615</v>
      </c>
      <c r="H24" s="73" t="n">
        <f aca="false">$F$15*ABS('data produk'!M4-$E$10)</f>
        <v>0.000455347621833138</v>
      </c>
      <c r="I24" s="74" t="n">
        <f aca="false">SUM(D24:H24)</f>
        <v>0.0839981317841005</v>
      </c>
      <c r="J24" s="75" t="n">
        <f aca="false">MAX(0,(1-I24/$B$17)*100)</f>
        <v>82.2478287025397</v>
      </c>
      <c r="K24" s="76" t="n">
        <f aca="false">RANK(I24,$I$23:$I$38,1)+COUNTIF($I$23:I24,I24)-1</f>
        <v>1</v>
      </c>
    </row>
    <row r="25" customFormat="false" ht="21.75" hidden="false" customHeight="true" outlineLevel="0" collapsed="false">
      <c r="A25" s="46" t="n">
        <v>3</v>
      </c>
      <c r="B25" s="46" t="str">
        <f aca="false">'data produk'!B5</f>
        <v>B003</v>
      </c>
      <c r="C25" s="47" t="str">
        <f aca="false">'data produk'!C5</f>
        <v>Batik Modern Rayon</v>
      </c>
      <c r="D25" s="73" t="n">
        <f aca="false">$B$15*ABS('data produk'!I5-$E$6)</f>
        <v>0.0769576811646859</v>
      </c>
      <c r="E25" s="73" t="n">
        <f aca="false">$C$15*ABS('data produk'!J5-$E$7)</f>
        <v>0.0189796291384633</v>
      </c>
      <c r="F25" s="73" t="n">
        <f aca="false">$D$15*ABS('data produk'!K5-$E$8)</f>
        <v>0.000338205854675855</v>
      </c>
      <c r="G25" s="73" t="n">
        <f aca="false">$E$15*ABS('data produk'!L5-$E$9)</f>
        <v>0.00732395702550203</v>
      </c>
      <c r="H25" s="73" t="n">
        <f aca="false">$F$15*ABS('data produk'!M5-$E$10)</f>
        <v>0.00129742884029168</v>
      </c>
      <c r="I25" s="74" t="n">
        <f aca="false">SUM(D25:H25)</f>
        <v>0.104896902023619</v>
      </c>
      <c r="J25" s="75" t="n">
        <f aca="false">MAX(0,(1-I25/$B$17)*100)</f>
        <v>77.8310810759166</v>
      </c>
      <c r="K25" s="76" t="n">
        <f aca="false">RANK(I25,$I$23:$I$38,1)+COUNTIF($I$23:I25,I25)-1</f>
        <v>2</v>
      </c>
    </row>
    <row r="26" customFormat="false" ht="21.75" hidden="false" customHeight="true" outlineLevel="0" collapsed="false">
      <c r="A26" s="50" t="n">
        <v>4</v>
      </c>
      <c r="B26" s="50" t="str">
        <f aca="false">'data produk'!B6</f>
        <v>B004</v>
      </c>
      <c r="C26" s="51" t="str">
        <f aca="false">'data produk'!C6</f>
        <v>Batik Kombinasi Katun</v>
      </c>
      <c r="D26" s="73" t="n">
        <f aca="false">$B$15*ABS('data produk'!I6-$E$6)</f>
        <v>0.0586443335646525</v>
      </c>
      <c r="E26" s="73" t="n">
        <f aca="false">$C$15*ABS('data produk'!J6-$E$7)</f>
        <v>0.00154454912988874</v>
      </c>
      <c r="F26" s="73" t="n">
        <f aca="false">$D$15*ABS('data produk'!K6-$E$8)</f>
        <v>0.0595242304229508</v>
      </c>
      <c r="G26" s="73" t="n">
        <f aca="false">$E$15*ABS('data produk'!L6-$E$9)</f>
        <v>0</v>
      </c>
      <c r="H26" s="73" t="n">
        <f aca="false">$F$15*ABS('data produk'!M6-$E$10)</f>
        <v>0.010092499344192</v>
      </c>
      <c r="I26" s="74" t="n">
        <f aca="false">SUM(D26:H26)</f>
        <v>0.129805612461684</v>
      </c>
      <c r="J26" s="75" t="n">
        <f aca="false">MAX(0,(1-I26/$B$17)*100)</f>
        <v>72.566872395277</v>
      </c>
      <c r="K26" s="76" t="n">
        <f aca="false">RANK(I26,$I$23:$I$38,1)+COUNTIF($I$23:I26,I26)-1</f>
        <v>3</v>
      </c>
    </row>
    <row r="27" customFormat="false" ht="21.75" hidden="false" customHeight="true" outlineLevel="0" collapsed="false">
      <c r="A27" s="46" t="n">
        <v>5</v>
      </c>
      <c r="B27" s="46" t="str">
        <f aca="false">'data produk'!B7</f>
        <v>B005</v>
      </c>
      <c r="C27" s="47" t="str">
        <f aca="false">'data produk'!C7</f>
        <v>Batik Kawung Sutra</v>
      </c>
      <c r="D27" s="73" t="n">
        <f aca="false">$B$15*ABS('data produk'!I7-$E$6)</f>
        <v>0.105260127455647</v>
      </c>
      <c r="E27" s="73" t="n">
        <f aca="false">$C$15*ABS('data produk'!J7-$E$7)</f>
        <v>0.0948981456923164</v>
      </c>
      <c r="F27" s="73" t="n">
        <f aca="false">$D$15*ABS('data produk'!K7-$E$8)</f>
        <v>0.0769337794184079</v>
      </c>
      <c r="G27" s="73" t="n">
        <f aca="false">$E$15*ABS('data produk'!L7-$E$9)</f>
        <v>0.00865468945947615</v>
      </c>
      <c r="H27" s="73" t="n">
        <f aca="false">$F$15*ABS('data produk'!M7-$E$10)</f>
        <v>0.000455347621833138</v>
      </c>
      <c r="I27" s="74" t="n">
        <f aca="false">SUM(D27:H27)</f>
        <v>0.28620208964768</v>
      </c>
      <c r="J27" s="75" t="n">
        <f aca="false">MAX(0,(1-I27/$B$17)*100)</f>
        <v>39.5140295003749</v>
      </c>
      <c r="K27" s="76" t="n">
        <f aca="false">RANK(I27,$I$23:$I$38,1)+COUNTIF($I$23:I27,I27)-1</f>
        <v>15</v>
      </c>
    </row>
    <row r="28" customFormat="false" ht="21.75" hidden="false" customHeight="true" outlineLevel="0" collapsed="false">
      <c r="A28" s="50" t="n">
        <v>6</v>
      </c>
      <c r="B28" s="50" t="str">
        <f aca="false">'data produk'!B8</f>
        <v>B006</v>
      </c>
      <c r="C28" s="51" t="str">
        <f aca="false">'data produk'!C8</f>
        <v>Batik Pekalongan</v>
      </c>
      <c r="D28" s="73" t="n">
        <f aca="false">$B$15*ABS('data produk'!I8-$E$6)</f>
        <v>0.105260127455647</v>
      </c>
      <c r="E28" s="73" t="n">
        <f aca="false">$C$15*ABS('data produk'!J8-$E$7)</f>
        <v>0.0189796291384633</v>
      </c>
      <c r="F28" s="73" t="n">
        <f aca="false">$D$15*ABS('data produk'!K8-$E$8)</f>
        <v>0.0715869059063896</v>
      </c>
      <c r="G28" s="73" t="n">
        <f aca="false">$E$15*ABS('data produk'!L8-$E$9)</f>
        <v>0.00732395702550203</v>
      </c>
      <c r="H28" s="73" t="n">
        <f aca="false">$F$15*ABS('data produk'!M8-$E$10)</f>
        <v>0.00129742884029168</v>
      </c>
      <c r="I28" s="74" t="n">
        <f aca="false">SUM(D28:H28)</f>
        <v>0.204448048366293</v>
      </c>
      <c r="J28" s="75" t="n">
        <f aca="false">MAX(0,(1-I28/$B$17)*100)</f>
        <v>56.7919345473243</v>
      </c>
      <c r="K28" s="76" t="n">
        <f aca="false">RANK(I28,$I$23:$I$38,1)+COUNTIF($I$23:I28,I28)-1</f>
        <v>8</v>
      </c>
    </row>
    <row r="29" customFormat="false" ht="21.75" hidden="false" customHeight="true" outlineLevel="0" collapsed="false">
      <c r="A29" s="46" t="n">
        <v>7</v>
      </c>
      <c r="B29" s="46" t="str">
        <f aca="false">'data produk'!B9</f>
        <v>B007</v>
      </c>
      <c r="C29" s="47" t="str">
        <f aca="false">'data produk'!C9</f>
        <v>Batik Solo</v>
      </c>
      <c r="D29" s="73" t="n">
        <f aca="false">$B$15*ABS('data produk'!I9-$E$6)</f>
        <v>0.105260127455647</v>
      </c>
      <c r="E29" s="73" t="n">
        <f aca="false">$C$15*ABS('data produk'!J9-$E$7)</f>
        <v>0.00154454912988874</v>
      </c>
      <c r="F29" s="73" t="n">
        <f aca="false">$D$15*ABS('data produk'!K9-$E$8)</f>
        <v>0.0715869059063896</v>
      </c>
      <c r="G29" s="73" t="n">
        <f aca="false">$E$15*ABS('data produk'!L9-$E$9)</f>
        <v>0.0364324968590249</v>
      </c>
      <c r="H29" s="73" t="n">
        <f aca="false">$F$15*ABS('data produk'!M9-$E$10)</f>
        <v>0.000455347621833138</v>
      </c>
      <c r="I29" s="74" t="n">
        <f aca="false">SUM(D29:H29)</f>
        <v>0.215279426972783</v>
      </c>
      <c r="J29" s="75" t="n">
        <f aca="false">MAX(0,(1-I29/$B$17)*100)</f>
        <v>54.5028302026673</v>
      </c>
      <c r="K29" s="76" t="n">
        <f aca="false">RANK(I29,$I$23:$I$38,1)+COUNTIF($I$23:I29,I29)-1</f>
        <v>11</v>
      </c>
    </row>
    <row r="30" customFormat="false" ht="21.75" hidden="false" customHeight="true" outlineLevel="0" collapsed="false">
      <c r="A30" s="50" t="n">
        <v>8</v>
      </c>
      <c r="B30" s="50" t="str">
        <f aca="false">'data produk'!B10</f>
        <v>B008</v>
      </c>
      <c r="C30" s="51" t="str">
        <f aca="false">'data produk'!C10</f>
        <v>Batik Yogyakarta</v>
      </c>
      <c r="D30" s="73" t="n">
        <f aca="false">$B$15*ABS('data produk'!I10-$E$6)</f>
        <v>0.0586443335646525</v>
      </c>
      <c r="E30" s="73" t="n">
        <f aca="false">$C$15*ABS('data produk'!J10-$E$7)</f>
        <v>0.0948981456923164</v>
      </c>
      <c r="F30" s="73" t="n">
        <f aca="false">$D$15*ABS('data produk'!K10-$E$8)</f>
        <v>0.0769337794184079</v>
      </c>
      <c r="G30" s="73" t="n">
        <f aca="false">$E$15*ABS('data produk'!L10-$E$9)</f>
        <v>0.00865468945947615</v>
      </c>
      <c r="H30" s="73" t="n">
        <f aca="false">$F$15*ABS('data produk'!M10-$E$10)</f>
        <v>0.00422911900825846</v>
      </c>
      <c r="I30" s="74" t="n">
        <f aca="false">SUM(D30:H30)</f>
        <v>0.243360067143111</v>
      </c>
      <c r="J30" s="75" t="n">
        <f aca="false">MAX(0,(1-I30/$B$17)*100)</f>
        <v>48.5682656610738</v>
      </c>
      <c r="K30" s="76" t="n">
        <f aca="false">RANK(I30,$I$23:$I$38,1)+COUNTIF($I$23:I30,I30)-1</f>
        <v>13</v>
      </c>
    </row>
    <row r="31" customFormat="false" ht="21.75" hidden="false" customHeight="true" outlineLevel="0" collapsed="false">
      <c r="A31" s="46" t="n">
        <v>9</v>
      </c>
      <c r="B31" s="46" t="str">
        <f aca="false">'data produk'!B11</f>
        <v>B009</v>
      </c>
      <c r="C31" s="47" t="str">
        <f aca="false">'data produk'!C11</f>
        <v>Batik Cirebon</v>
      </c>
      <c r="D31" s="73" t="n">
        <f aca="false">$B$15*ABS('data produk'!I11-$E$6)</f>
        <v>0.0586443335646525</v>
      </c>
      <c r="E31" s="73" t="n">
        <f aca="false">$C$15*ABS('data produk'!J11-$E$7)</f>
        <v>0.0189796291384633</v>
      </c>
      <c r="F31" s="73" t="n">
        <f aca="false">$D$15*ABS('data produk'!K11-$E$8)</f>
        <v>0.0715869059063896</v>
      </c>
      <c r="G31" s="73" t="n">
        <f aca="false">$E$15*ABS('data produk'!L11-$E$9)</f>
        <v>0.00732395702550203</v>
      </c>
      <c r="H31" s="73" t="n">
        <f aca="false">$F$15*ABS('data produk'!M11-$E$10)</f>
        <v>0.00129742884029168</v>
      </c>
      <c r="I31" s="74" t="n">
        <f aca="false">SUM(D31:H31)</f>
        <v>0.157832254475299</v>
      </c>
      <c r="J31" s="75" t="n">
        <f aca="false">MAX(0,(1-I31/$B$17)*100)</f>
        <v>66.6437198280616</v>
      </c>
      <c r="K31" s="76" t="n">
        <f aca="false">RANK(I31,$I$23:$I$38,1)+COUNTIF($I$23:I31,I31)-1</f>
        <v>4</v>
      </c>
    </row>
    <row r="32" customFormat="false" ht="21.75" hidden="false" customHeight="true" outlineLevel="0" collapsed="false">
      <c r="A32" s="50" t="n">
        <v>10</v>
      </c>
      <c r="B32" s="50" t="str">
        <f aca="false">'data produk'!B12</f>
        <v>B010</v>
      </c>
      <c r="C32" s="51" t="str">
        <f aca="false">'data produk'!C12</f>
        <v>Batik Sumenep</v>
      </c>
      <c r="D32" s="73" t="n">
        <f aca="false">$B$15*ABS('data produk'!I12-$E$6)</f>
        <v>0.0586443335646525</v>
      </c>
      <c r="E32" s="73" t="n">
        <f aca="false">$C$15*ABS('data produk'!J12-$E$7)</f>
        <v>0.0948981456923164</v>
      </c>
      <c r="F32" s="73" t="n">
        <f aca="false">$D$15*ABS('data produk'!K12-$E$8)</f>
        <v>0.000338205854675855</v>
      </c>
      <c r="G32" s="73" t="n">
        <f aca="false">$E$15*ABS('data produk'!L12-$E$9)</f>
        <v>0.00865468945947615</v>
      </c>
      <c r="H32" s="73" t="n">
        <f aca="false">$F$15*ABS('data produk'!M12-$E$10)</f>
        <v>0.000455347621833138</v>
      </c>
      <c r="I32" s="74" t="n">
        <f aca="false">SUM(D32:H32)</f>
        <v>0.162990722192954</v>
      </c>
      <c r="J32" s="75" t="n">
        <f aca="false">MAX(0,(1-I32/$B$17)*100)</f>
        <v>65.5535288843915</v>
      </c>
      <c r="K32" s="76" t="n">
        <f aca="false">RANK(I32,$I$23:$I$38,1)+COUNTIF($I$23:I32,I32)-1</f>
        <v>6</v>
      </c>
    </row>
    <row r="33" customFormat="false" ht="21.75" hidden="false" customHeight="true" outlineLevel="0" collapsed="false">
      <c r="A33" s="46" t="n">
        <v>11</v>
      </c>
      <c r="B33" s="46" t="str">
        <f aca="false">'data produk'!B13</f>
        <v>B011</v>
      </c>
      <c r="C33" s="47" t="str">
        <f aca="false">'data produk'!C13</f>
        <v>Batik Madura</v>
      </c>
      <c r="D33" s="73" t="n">
        <f aca="false">$B$15*ABS('data produk'!I13-$E$6)</f>
        <v>0.0586443335646525</v>
      </c>
      <c r="E33" s="73" t="n">
        <f aca="false">$C$15*ABS('data produk'!J13-$E$7)</f>
        <v>0.0189796291384633</v>
      </c>
      <c r="F33" s="73" t="n">
        <f aca="false">$D$15*ABS('data produk'!K13-$E$8)</f>
        <v>0.0715869059063896</v>
      </c>
      <c r="G33" s="73" t="n">
        <f aca="false">$E$15*ABS('data produk'!L13-$E$9)</f>
        <v>0.00732395702550203</v>
      </c>
      <c r="H33" s="73" t="n">
        <f aca="false">$F$15*ABS('data produk'!M13-$E$10)</f>
        <v>0.00422911900825846</v>
      </c>
      <c r="I33" s="74" t="n">
        <f aca="false">SUM(D33:H33)</f>
        <v>0.160763944643266</v>
      </c>
      <c r="J33" s="75" t="n">
        <f aca="false">MAX(0,(1-I33/$B$17)*100)</f>
        <v>66.0241362141475</v>
      </c>
      <c r="K33" s="76" t="n">
        <f aca="false">RANK(I33,$I$23:$I$38,1)+COUNTIF($I$23:I33,I33)-1</f>
        <v>5</v>
      </c>
    </row>
    <row r="34" customFormat="false" ht="21.75" hidden="false" customHeight="true" outlineLevel="0" collapsed="false">
      <c r="A34" s="50" t="n">
        <v>12</v>
      </c>
      <c r="B34" s="50" t="str">
        <f aca="false">'data produk'!B14</f>
        <v>B012</v>
      </c>
      <c r="C34" s="51" t="str">
        <f aca="false">'data produk'!C14</f>
        <v>Batik Bali</v>
      </c>
      <c r="D34" s="73" t="n">
        <f aca="false">$B$15*ABS('data produk'!I14-$E$6)</f>
        <v>0.0769576811646859</v>
      </c>
      <c r="E34" s="73" t="n">
        <f aca="false">$C$15*ABS('data produk'!J14-$E$7)</f>
        <v>0.0189796291384633</v>
      </c>
      <c r="F34" s="73" t="n">
        <f aca="false">$D$15*ABS('data produk'!K14-$E$8)</f>
        <v>0.0595242304229508</v>
      </c>
      <c r="G34" s="73" t="n">
        <f aca="false">$E$15*ABS('data produk'!L14-$E$9)</f>
        <v>0.00732395702550203</v>
      </c>
      <c r="H34" s="73" t="n">
        <f aca="false">$F$15*ABS('data produk'!M14-$E$10)</f>
        <v>0.00129742884029168</v>
      </c>
      <c r="I34" s="74" t="n">
        <f aca="false">SUM(D34:H34)</f>
        <v>0.164082926591894</v>
      </c>
      <c r="J34" s="75" t="n">
        <f aca="false">MAX(0,(1-I34/$B$17)*100)</f>
        <v>65.3227023270622</v>
      </c>
      <c r="K34" s="76" t="n">
        <f aca="false">RANK(I34,$I$23:$I$38,1)+COUNTIF($I$23:I34,I34)-1</f>
        <v>7</v>
      </c>
    </row>
    <row r="35" customFormat="false" ht="21.75" hidden="false" customHeight="true" outlineLevel="0" collapsed="false">
      <c r="A35" s="46" t="n">
        <v>13</v>
      </c>
      <c r="B35" s="46" t="str">
        <f aca="false">'data produk'!B15</f>
        <v>B013</v>
      </c>
      <c r="C35" s="47" t="str">
        <f aca="false">'data produk'!C15</f>
        <v>Batik Tuban</v>
      </c>
      <c r="D35" s="73" t="n">
        <f aca="false">$B$15*ABS('data produk'!I15-$E$6)</f>
        <v>0.0586443335646525</v>
      </c>
      <c r="E35" s="73" t="n">
        <f aca="false">$C$15*ABS('data produk'!J15-$E$7)</f>
        <v>0.0948981456923164</v>
      </c>
      <c r="F35" s="73" t="n">
        <f aca="false">$D$15*ABS('data produk'!K15-$E$8)</f>
        <v>0.0769337794184079</v>
      </c>
      <c r="G35" s="73" t="n">
        <f aca="false">$E$15*ABS('data produk'!L15-$E$9)</f>
        <v>0.0364324968590249</v>
      </c>
      <c r="H35" s="73" t="n">
        <f aca="false">$F$15*ABS('data produk'!M15-$E$10)</f>
        <v>0.000455347621833138</v>
      </c>
      <c r="I35" s="74" t="n">
        <f aca="false">SUM(D35:H35)</f>
        <v>0.267364103156235</v>
      </c>
      <c r="J35" s="75" t="n">
        <f aca="false">MAX(0,(1-I35/$B$17)*100)</f>
        <v>43.4952509393818</v>
      </c>
      <c r="K35" s="76" t="n">
        <f aca="false">RANK(I35,$I$23:$I$38,1)+COUNTIF($I$23:I35,I35)-1</f>
        <v>14</v>
      </c>
    </row>
    <row r="36" customFormat="false" ht="21.75" hidden="false" customHeight="true" outlineLevel="0" collapsed="false">
      <c r="A36" s="50" t="n">
        <v>14</v>
      </c>
      <c r="B36" s="50" t="str">
        <f aca="false">'data produk'!B16</f>
        <v>B014</v>
      </c>
      <c r="C36" s="51" t="str">
        <f aca="false">'data produk'!C16</f>
        <v>Batik Jawa</v>
      </c>
      <c r="D36" s="73" t="n">
        <f aca="false">$B$15*ABS('data produk'!I16-$E$6)</f>
        <v>0.105260127455647</v>
      </c>
      <c r="E36" s="73" t="n">
        <f aca="false">$C$15*ABS('data produk'!J16-$E$7)</f>
        <v>0.0948981456923164</v>
      </c>
      <c r="F36" s="73" t="n">
        <f aca="false">$D$15*ABS('data produk'!K16-$E$8)</f>
        <v>0.000338205854675855</v>
      </c>
      <c r="G36" s="73" t="n">
        <f aca="false">$E$15*ABS('data produk'!L16-$E$9)</f>
        <v>0.0364324968590249</v>
      </c>
      <c r="H36" s="73" t="n">
        <f aca="false">$F$15*ABS('data produk'!M16-$E$10)</f>
        <v>0.000455347621833138</v>
      </c>
      <c r="I36" s="74" t="n">
        <f aca="false">SUM(D36:H36)</f>
        <v>0.237384323483497</v>
      </c>
      <c r="J36" s="75" t="n">
        <f aca="false">MAX(0,(1-I36/$B$17)*100)</f>
        <v>49.8311797619237</v>
      </c>
      <c r="K36" s="76" t="n">
        <f aca="false">RANK(I36,$I$23:$I$38,1)+COUNTIF($I$23:I36,I36)-1</f>
        <v>12</v>
      </c>
      <c r="L36" s="71"/>
    </row>
    <row r="37" customFormat="false" ht="21.75" hidden="false" customHeight="true" outlineLevel="0" collapsed="false">
      <c r="A37" s="46" t="n">
        <v>15</v>
      </c>
      <c r="B37" s="46" t="str">
        <f aca="false">'data produk'!B17</f>
        <v>B015</v>
      </c>
      <c r="C37" s="47" t="str">
        <f aca="false">'data produk'!C17</f>
        <v>Batik Pamekasan</v>
      </c>
      <c r="D37" s="73" t="n">
        <f aca="false">$B$15*ABS('data produk'!I17-$E$6)</f>
        <v>0.0586443335646525</v>
      </c>
      <c r="E37" s="73" t="n">
        <f aca="false">$C$15*ABS('data produk'!J17-$E$7)</f>
        <v>0.0948981456923164</v>
      </c>
      <c r="F37" s="73" t="n">
        <f aca="false">$D$15*ABS('data produk'!K17-$E$8)</f>
        <v>0.0595242304229508</v>
      </c>
      <c r="G37" s="73" t="n">
        <f aca="false">$E$15*ABS('data produk'!L17-$E$9)</f>
        <v>0</v>
      </c>
      <c r="H37" s="73" t="n">
        <f aca="false">$F$15*ABS('data produk'!M17-$E$10)</f>
        <v>0.00129742884029168</v>
      </c>
      <c r="I37" s="74" t="n">
        <f aca="false">SUM(D37:H37)</f>
        <v>0.214364138520211</v>
      </c>
      <c r="J37" s="75" t="n">
        <f aca="false">MAX(0,(1-I37/$B$17)*100)</f>
        <v>54.6962673309882</v>
      </c>
      <c r="K37" s="76" t="n">
        <f aca="false">RANK(I37,$I$23:$I$38,1)+COUNTIF($I$23:I37,I37)-1</f>
        <v>10</v>
      </c>
    </row>
    <row r="38" customFormat="false" ht="21.75" hidden="false" customHeight="true" outlineLevel="0" collapsed="false">
      <c r="A38" s="50" t="n">
        <v>16</v>
      </c>
      <c r="B38" s="50" t="str">
        <f aca="false">'data produk'!B18</f>
        <v>B016</v>
      </c>
      <c r="C38" s="51" t="str">
        <f aca="false">'data produk'!C18</f>
        <v>Batik Tanjung Bumi</v>
      </c>
      <c r="D38" s="73" t="n">
        <f aca="false">$B$15*ABS('data produk'!I18-$E$6)</f>
        <v>0.0586443335646525</v>
      </c>
      <c r="E38" s="73" t="n">
        <f aca="false">$C$15*ABS('data produk'!J18-$E$7)</f>
        <v>0.0948981456923164</v>
      </c>
      <c r="F38" s="73" t="n">
        <f aca="false">$D$15*ABS('data produk'!K18-$E$8)</f>
        <v>0.0434997149275947</v>
      </c>
      <c r="G38" s="73" t="n">
        <f aca="false">$E$15*ABS('data produk'!L18-$E$9)</f>
        <v>0.00732395702550203</v>
      </c>
      <c r="H38" s="73" t="n">
        <f aca="false">$F$15*ABS('data produk'!M18-$E$10)</f>
        <v>0.000455347621833138</v>
      </c>
      <c r="I38" s="74" t="n">
        <f aca="false">SUM(D38:H38)</f>
        <v>0.204821498831899</v>
      </c>
      <c r="J38" s="75" t="n">
        <f aca="false">MAX(0,(1-I38/$B$17)*100)</f>
        <v>56.7130094986865</v>
      </c>
      <c r="K38" s="76" t="n">
        <f aca="false">RANK(I38,$I$23:$I$38,1)+COUNTIF($I$23:I38,I38)-1</f>
        <v>9</v>
      </c>
    </row>
    <row r="39" customFormat="false" ht="24.75" hidden="false" customHeight="true" outlineLevel="0" collapsed="false">
      <c r="A39" s="77"/>
      <c r="B39" s="78"/>
      <c r="C39" s="79"/>
      <c r="D39" s="80"/>
      <c r="E39" s="80"/>
      <c r="F39" s="80"/>
      <c r="G39" s="80"/>
      <c r="H39" s="81"/>
      <c r="I39" s="82"/>
    </row>
    <row r="40" customFormat="false" ht="21.75" hidden="false" customHeight="true" outlineLevel="0" collapsed="false">
      <c r="A40" s="83" t="s">
        <v>144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</row>
    <row r="41" customFormat="false" ht="24.75" hidden="false" customHeight="true" outlineLevel="0" collapsed="false">
      <c r="A41" s="84" t="s">
        <v>145</v>
      </c>
      <c r="B41" s="78" t="str">
        <f aca="false">IFERROR(INDEX('data produk'!B3:B18,MATCH(1,K23:K38,0)),"-")</f>
        <v>B002</v>
      </c>
      <c r="C41" s="79" t="str">
        <f aca="false">IFERROR(INDEX('data produk'!C3:C18,MATCH(1,K23:K38,0)),"-")</f>
        <v>Batik Cap Katun</v>
      </c>
      <c r="D41" s="80" t="str">
        <f aca="false">IFERROR(INDEX('data produk'!D3:D18,MATCH(1,K23:K38,0)),"-")</f>
        <v>Katun Primissima</v>
      </c>
      <c r="E41" s="80" t="str">
        <f aca="false">IFERROR(INDEX('data produk'!E3:E18,MATCH(1,K23:K38,0)),"-")</f>
        <v>Tradisional Modern</v>
      </c>
      <c r="F41" s="80" t="str">
        <f aca="false">IFERROR(INDEX('data produk'!F3:F18,MATCH(1,K23:K38,0)),"-")</f>
        <v>Rp 200,000</v>
      </c>
      <c r="G41" s="80" t="str">
        <f aca="false">IFERROR(INDEX('data produk'!G3:G18,MATCH(1,K23:K38,0)),"-")</f>
        <v>Netral Elegan</v>
      </c>
      <c r="H41" s="80" t="str">
        <f aca="false">IFERROR(INDEX('data produk'!H3:H18,MATCH(1,K23:K38,0)),"-")</f>
        <v>Formal</v>
      </c>
      <c r="I41" s="85" t="n">
        <f aca="false">IFERROR(INDEX(J23:J38,MATCH(1,K23:K38,0)),"-")</f>
        <v>82.2478287025397</v>
      </c>
    </row>
    <row r="42" customFormat="false" ht="24.75" hidden="false" customHeight="true" outlineLevel="0" collapsed="false">
      <c r="A42" s="77" t="s">
        <v>146</v>
      </c>
      <c r="B42" s="78" t="str">
        <f aca="false">IFERROR(INDEX('data produk'!B3:B18,MATCH(2,K23:K38,0)),"-")</f>
        <v>B003</v>
      </c>
      <c r="C42" s="79" t="str">
        <f aca="false">IFERROR(INDEX('data produk'!C3:C18,MATCH(2,K23:K38,0)),"-")</f>
        <v>Batik Modern Rayon</v>
      </c>
      <c r="D42" s="80" t="str">
        <f aca="false">IFERROR(INDEX('data produk'!D3:D18,MATCH(2,K23:K38,0)),"-")</f>
        <v>Rayon</v>
      </c>
      <c r="E42" s="80" t="str">
        <f aca="false">IFERROR(INDEX('data produk'!E3:E18,MATCH(2,K23:K38,0)),"-")</f>
        <v>Modern/Kontemporer</v>
      </c>
      <c r="F42" s="80" t="str">
        <f aca="false">IFERROR(INDEX('data produk'!F3:F18,MATCH(2,K23:K38,0)),"-")</f>
        <v>Rp 120,000</v>
      </c>
      <c r="G42" s="80" t="str">
        <f aca="false">IFERROR(INDEX('data produk'!G3:G18,MATCH(2,K23:K38,0)),"-")</f>
        <v>Cerah Mencolok</v>
      </c>
      <c r="H42" s="80" t="str">
        <f aca="false">IFERROR(INDEX('data produk'!H3:H18,MATCH(2,K23:K38,0)),"-")</f>
        <v>Casual</v>
      </c>
      <c r="I42" s="85" t="n">
        <f aca="false">IFERROR(INDEX(J23:J38,MATCH(2,K23:K38,0)),"-")</f>
        <v>77.8310810759166</v>
      </c>
    </row>
    <row r="43" customFormat="false" ht="24.75" hidden="false" customHeight="true" outlineLevel="0" collapsed="false">
      <c r="A43" s="86" t="s">
        <v>147</v>
      </c>
      <c r="B43" s="78" t="str">
        <f aca="false">IFERROR(INDEX('data produk'!B3:B18,MATCH(3,K23:K38,0)),"-")</f>
        <v>B004</v>
      </c>
      <c r="C43" s="79" t="str">
        <f aca="false">IFERROR(INDEX('data produk'!C3:C18,MATCH(3,K23:K38,0)),"-")</f>
        <v>Batik Kombinasi Katun</v>
      </c>
      <c r="D43" s="80" t="str">
        <f aca="false">IFERROR(INDEX('data produk'!D3:D18,MATCH(3,K23:K38,0)),"-")</f>
        <v>Katun Biasa</v>
      </c>
      <c r="E43" s="80" t="str">
        <f aca="false">IFERROR(INDEX('data produk'!E3:E18,MATCH(3,K23:K38,0)),"-")</f>
        <v>Kombinasi</v>
      </c>
      <c r="F43" s="80" t="str">
        <f aca="false">IFERROR(INDEX('data produk'!F3:F18,MATCH(3,K23:K38,0)),"-")</f>
        <v>Rp 320,000</v>
      </c>
      <c r="G43" s="80" t="str">
        <f aca="false">IFERROR(INDEX('data produk'!G3:G18,MATCH(3,K23:K38,0)),"-")</f>
        <v>Cerah Seimbang</v>
      </c>
      <c r="H43" s="80" t="str">
        <f aca="false">IFERROR(INDEX('data produk'!H3:H18,MATCH(3,K23:K38,0)),"-")</f>
        <v>Dua Fungsi</v>
      </c>
      <c r="I43" s="85" t="n">
        <f aca="false">IFERROR(INDEX(J23:J38,MATCH(3,K23:K38,0)),"-")</f>
        <v>72.566872395277</v>
      </c>
    </row>
  </sheetData>
  <mergeCells count="9">
    <mergeCell ref="A1:L1"/>
    <mergeCell ref="A2:L2"/>
    <mergeCell ref="A4:L4"/>
    <mergeCell ref="A13:F13"/>
    <mergeCell ref="A16:F16"/>
    <mergeCell ref="C17:K17"/>
    <mergeCell ref="A18:L18"/>
    <mergeCell ref="A19:L19"/>
    <mergeCell ref="A40:K40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2026-05-02T17:11:35Z</dcterms:created>
  <dc:creator>openpyxl</dc:creator>
  <dc:description/>
  <dc:language>en-US</dc:language>
  <cp:lastModifiedBy/>
  <dcterms:modified xsi:type="dcterms:W3CDTF">2026-05-02T23:24:18Z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